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AC5BFF53-FF78-480F-B303-FB4D20CBDB16}" xr6:coauthVersionLast="36" xr6:coauthVersionMax="36" xr10:uidLastSave="{00000000-0000-0000-0000-000000000000}"/>
  <bookViews>
    <workbookView xWindow="0" yWindow="0" windowWidth="19200" windowHeight="6350" tabRatio="674" firstSheet="2" activeTab="2" xr2:uid="{A3C6B20A-D7E8-4C7F-913F-CC4E24F4161E}"/>
  </bookViews>
  <sheets>
    <sheet name="Raw_data" sheetId="1" r:id="rId1"/>
    <sheet name="Sheet4" sheetId="11" r:id="rId2"/>
    <sheet name="Cleaned_data" sheetId="3" r:id="rId3"/>
    <sheet name="Pivot_tables" sheetId="4" r:id="rId4"/>
    <sheet name="pivot_table2" sheetId="5" r:id="rId5"/>
    <sheet name="Bar chart" sheetId="6" r:id="rId6"/>
    <sheet name="pivot_table3" sheetId="7" r:id="rId7"/>
    <sheet name="DashBoard" sheetId="10" r:id="rId8"/>
    <sheet name="Summary" sheetId="12" r:id="rId9"/>
  </sheets>
  <definedNames>
    <definedName name="Slicer_Gender">#N/A</definedName>
    <definedName name="Slicer_Health_status">#N/A</definedName>
    <definedName name="Slicer_Region">#N/A</definedName>
    <definedName name="Slicer_Region1">#N/A</definedName>
  </definedNames>
  <calcPr calcId="191029"/>
  <pivotCaches>
    <pivotCache cacheId="8"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3" l="1"/>
  <c r="L2" i="3" s="1"/>
  <c r="K3" i="3"/>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0" i="3"/>
  <c r="L30" i="3" s="1"/>
  <c r="K31" i="3"/>
  <c r="L31" i="3" s="1"/>
  <c r="K32" i="3"/>
  <c r="L32" i="3" s="1"/>
  <c r="K33" i="3"/>
  <c r="L33" i="3" s="1"/>
  <c r="K34" i="3"/>
  <c r="L34" i="3" s="1"/>
  <c r="K35" i="3"/>
  <c r="L35" i="3" s="1"/>
  <c r="K36" i="3"/>
  <c r="L36" i="3" s="1"/>
  <c r="K37" i="3"/>
  <c r="L37" i="3" s="1"/>
  <c r="K38" i="3"/>
  <c r="L38" i="3" s="1"/>
  <c r="K39" i="3"/>
  <c r="L39" i="3" s="1"/>
  <c r="K40" i="3"/>
  <c r="L40" i="3" s="1"/>
  <c r="K41" i="3"/>
  <c r="L41" i="3" s="1"/>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L56" i="3" s="1"/>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278D4E-C439-4C18-85C9-A1F39B57CD91}" keepAlive="1" name="Query - Table1" description="Connection to the 'Table1' query in the workbook." type="5" refreshedVersion="6"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<sst xmlns="http://schemas.openxmlformats.org/spreadsheetml/2006/main" count="658" uniqueCount="134">
  <si>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</si>
  <si>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</si>
  <si>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</si>
  <si>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</si>
  <si>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</si>
  <si>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</si>
  <si>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</si>
  <si>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</si>
  <si>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</si>
  <si>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</si>
  <si>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</si>
  <si>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</si>
  <si>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</si>
  <si>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</si>
  <si>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</si>
  <si>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</si>
  <si>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</si>
  <si>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</si>
  <si>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</si>
  <si>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</si>
  <si>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</si>
  <si>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</si>
  <si>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</si>
  <si>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</si>
  <si>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</si>
  <si>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</si>
  <si>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</si>
  <si>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</si>
  <si>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</si>
  <si>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</si>
  <si>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</si>
  <si>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</si>
  <si>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</si>
  <si>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</si>
  <si>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</si>
  <si>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</si>
  <si>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</si>
  <si>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</si>
  <si>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</si>
  <si>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</si>
  <si>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</si>
  <si>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</si>
  <si>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</si>
  <si>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</si>
  <si>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</si>
  <si>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</si>
  <si>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</si>
  <si>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</si>
  <si>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</si>
  <si>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</si>
  <si>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</si>
  <si>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</si>
  <si>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</si>
  <si>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</si>
  <si>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</si>
  <si>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</si>
  <si>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</si>
  <si>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</si>
  <si>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</si>
  <si>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</si>
  <si>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</si>
  <si>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</si>
  <si>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</si>
  <si>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</si>
  <si>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</si>
  <si>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</si>
  <si>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</si>
  <si>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</si>
  <si>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</si>
  <si>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</si>
  <si>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</si>
  <si>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</si>
  <si>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</si>
  <si>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</si>
  <si>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</si>
  <si>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</si>
  <si>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</si>
  <si>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</si>
  <si>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</si>
  <si>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</si>
  <si>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</si>
  <si>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</si>
  <si>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</si>
  <si>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</si>
  <si>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</si>
  <si>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</si>
  <si>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</si>
  <si>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</si>
  <si>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</si>
  <si>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</si>
  <si>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</si>
  <si>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</si>
  <si>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</si>
  <si>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</si>
  <si>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</si>
  <si>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</si>
  <si>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</si>
  <si>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</si>
  <si>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</si>
  <si>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</si>
  <si>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</si>
  <si>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</si>
  <si>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</si>
  <si>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</si>
  <si>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</si>
  <si>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</si>
  <si>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</si>
  <si>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</si>
  <si>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</si>
  <si>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</si>
  <si>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</si>
  <si>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</si>
  <si>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</si>
  <si>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</si>
  <si>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</si>
  <si>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</si>
  <si>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</si>
  <si>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</si>
  <si>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Health_status</t>
  </si>
  <si>
    <t>Grand Total</t>
  </si>
  <si>
    <t>Age_months</t>
  </si>
  <si>
    <t>Healthy Weight</t>
  </si>
  <si>
    <t>obese</t>
  </si>
  <si>
    <t>Overweight</t>
  </si>
  <si>
    <t>Count of ChildID</t>
  </si>
  <si>
    <t>Average of BMI</t>
  </si>
  <si>
    <t>Row Labels</t>
  </si>
  <si>
    <t>Column Labels</t>
  </si>
  <si>
    <t>Daily_fruit_servings and veggie_serving</t>
  </si>
  <si>
    <t>Average of Daily_Sugar_Drinks</t>
  </si>
  <si>
    <t>Daily_Fruits_served</t>
  </si>
  <si>
    <t>Count of Health_status</t>
  </si>
  <si>
    <t>Sum of BMI</t>
  </si>
  <si>
    <t>Count of Age_Months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</si>
</sst>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1" xfId="0" applyFont="1" applyFill="1" applyBorder="1"/>
    <xf numFmtId="0" fontId="0" fillId="0" borderId="1" xfId="0" applyBorder="1"/>
    <xf numFmtId="0" fontId="0" fillId="0" borderId="2" xfId="0" applyBorder="1"/>
    <xf numFmtId="0" fontId="1" fillId="0" borderId="3" xfId="0" applyFont="1" applyFill="1" applyBorder="1"/>
    <xf numFmtId="0" fontId="1" fillId="0" borderId="2" xfId="0" applyFont="1" applyFill="1" applyBorder="1"/>
    <xf numFmtId="0" fontId="1" fillId="0" borderId="4" xfId="0" applyFont="1" applyFill="1" applyBorder="1"/>
    <xf numFmtId="0" fontId="0" fillId="0" borderId="5" xfId="0" applyFont="1" applyFill="1" applyBorder="1"/>
    <xf numFmtId="0" fontId="0" fillId="0" borderId="6" xfId="0" applyFont="1" applyFill="1" applyBorder="1"/>
    <xf numFmtId="0" fontId="0" fillId="0" borderId="7" xfId="0" applyFont="1" applyFill="1" applyBorder="1"/>
    <xf numFmtId="0" fontId="0" fillId="0" borderId="8" xfId="0" applyFont="1" applyFill="1" applyBorder="1"/>
    <xf numFmtId="0" fontId="0" fillId="0" borderId="9" xfId="0" applyFont="1" applyFill="1"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0" xfId="0" applyNumberFormat="1"/>
    <xf numFmtId="0" fontId="0" fillId="0" borderId="0" xfId="0" pivotButton="1"/>
    <xf numFmtId="0" fontId="0" fillId="0" borderId="0" xfId="0" applyAlignment="1">
      <alignment horizontal="left"/>
    </xf>
    <xf numFmtId="0" fontId="0" fillId="2" borderId="1" xfId="0" applyFill="1" applyBorder="1" applyAlignment="1">
      <alignment horizontal="left" indent="1"/>
    </xf>
    <xf numFmtId="0" fontId="0" fillId="2" borderId="1" xfId="0" applyNumberFormat="1" applyFill="1" applyBorder="1"/>
    <xf numFmtId="0" fontId="0" fillId="3" borderId="1" xfId="0" applyFill="1" applyBorder="1" applyAlignment="1">
      <alignment horizontal="left"/>
    </xf>
    <xf numFmtId="0" fontId="0" fillId="3" borderId="1" xfId="0" applyNumberFormat="1" applyFill="1" applyBorder="1"/>
    <xf numFmtId="0" fontId="0" fillId="4" borderId="1" xfId="0" applyFill="1" applyBorder="1"/>
  </cellXfs>
  <cellStyles count="1">
    <cellStyle name="Normal" xfId="0" builtinId="0"/>
  </cellStyles>
  <dxfs count="49">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indexed="65"/>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[Day3.xlsx]Sheet4!PivotTable3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Sheet4!$A$1</c:f>
              <c:strCache>
                <c:ptCount val="1"/>
                <c:pt idx="0">
                  <c:v>Count of Age_Months</c:v>
                </c:pt>
              </c:strCache>
            </c:strRef>
          </c:tx>
          <c:spPr>
            <a:solidFill>
              <a:schemeClr val="accent1"/>
            </a:solidFill>
            <a:ln>
              <a:noFill/>
            </a:ln>
            <a:effectLst/>
          </c:spPr>
          <c:invertIfNegative val="0"/>
          <c:cat>
            <c:strRef>
              <c:f>Sheet4!$A$2</c:f>
              <c:strCache>
                <c:ptCount val="1"/>
                <c:pt idx="0">
                  <c:v>Total</c:v>
                </c:pt>
              </c:strCache>
            </c:strRef>
          </c:cat>
          <c:val>
            <c:numRef>
              <c:f>Sheet4!$A$2</c:f>
              <c:numCache>
                <c:formatCode>General</c:formatCode>
                <c:ptCount val="1"/>
                <c:pt idx="0">
                  <c:v>100</c:v>
                </c:pt>
              </c:numCache>
            </c:numRef>
          </c:val>
          <c:extLst>
            <c:ext xmlns:c16="http://schemas.microsoft.com/office/drawing/2014/chart" uri="{C3380CC4-5D6E-409C-BE32-E72D297353CC}">
              <c16:uniqueId val="{00000000-2177-45F5-A0DF-CF035049DC33}"/>
            </c:ext>
          </c:extLst>
        </c:ser>
        <c:ser>
          <c:idx val="1"/>
          <c:order val="1"/>
          <c:tx>
            <c:strRef>
              <c:f>Sheet4!$B$1</c:f>
              <c:strCache>
                <c:ptCount val="1"/>
                <c:pt idx="0">
                  <c:v>Sum of BMI</c:v>
                </c:pt>
              </c:strCache>
            </c:strRef>
          </c:tx>
          <c:spPr>
            <a:solidFill>
              <a:schemeClr val="accent2"/>
            </a:solidFill>
            <a:ln>
              <a:noFill/>
            </a:ln>
            <a:effectLst/>
          </c:spPr>
          <c:invertIfNegative val="0"/>
          <c:cat>
            <c:strRef>
              <c:f>Sheet4!$A$2</c:f>
              <c:strCache>
                <c:ptCount val="1"/>
                <c:pt idx="0">
                  <c:v>Total</c:v>
                </c:pt>
              </c:strCache>
            </c:strRef>
          </c:cat>
          <c:val>
            <c:numRef>
              <c:f>Sheet4!$B$2</c:f>
              <c:numCache>
                <c:formatCode>General</c:formatCode>
                <c:ptCount val="1"/>
                <c:pt idx="0">
                  <c:v>3517.2883994333697</c:v>
                </c:pt>
              </c:numCache>
            </c:numRef>
          </c:val>
          <c:extLst>
            <c:ext xmlns:c16="http://schemas.microsoft.com/office/drawing/2014/chart" uri="{C3380CC4-5D6E-409C-BE32-E72D297353CC}">
              <c16:uniqueId val="{00000002-2177-45F5-A0DF-CF035049DC33}"/>
            </c:ext>
          </c:extLst>
        </c:ser>
        <c:dLbls>
          <c:showLegendKey val="0"/>
          <c:showVal val="0"/>
          <c:showCatName val="0"/>
          <c:showSerName val="0"/>
          <c:showPercent val="0"/>
          <c:showBubbleSize val="0"/>
        </c:dLbls>
        <c:gapWidth val="219"/>
        <c:axId val="2074625632"/>
        <c:axId val="553248767"/>
      </c:barChart>
      <c:catAx>
        <c:axId val="207462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48767"/>
        <c:crosses val="autoZero"/>
        <c:auto val="1"/>
        <c:lblAlgn val="ctr"/>
        <c:lblOffset val="100"/>
        <c:noMultiLvlLbl val="0"/>
      </c:catAx>
      <c:valAx>
        <c:axId val="55324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6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[Day3.xlsx]Pivot_tables!PivotTable1</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Pivot_tables!$B$3:$B$4</c:f>
              <c:strCache>
                <c:ptCount val="1"/>
                <c:pt idx="0">
                  <c:v>Healthy Weight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Pivot_tables!$A$5:$A$39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Pivot_tables!$B$5:$B$39</c:f>
              <c:numCache>
                <c:formatCode>General</c:formatCode>
                <c:ptCount val="34"/>
                <c:pt idx="7">
                  <c:v>1</c:v>
                </c:pt>
              </c:numCache>
            </c:numRef>
          </c:val>
          <c:extLst>
            <c:ext xmlns:c16="http://schemas.microsoft.com/office/drawing/2014/chart" uri="{C3380CC4-5D6E-409C-BE32-E72D297353CC}">
              <c16:uniqueId val="{0000004E-374A-4A2B-B774-6D0E7DE74E69}"/>
            </c:ext>
          </c:extLst>
        </c:ser>
        <c:ser>
          <c:idx val="1"/>
          <c:order val="1"/>
          <c:tx>
            <c:strRef>
              <c:f>Pivot_tables!$C$3:$C$4</c:f>
              <c:strCache>
                <c:ptCount val="1"/>
                <c:pt idx="0">
                  <c:v>obese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Pivot_tables!$A$5:$A$39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Pivot_tables!$C$5:$C$39</c:f>
              <c:numCache>
                <c:formatCode>General</c:formatCode>
                <c:ptCount val="34"/>
                <c:pt idx="0">
                  <c:v>4</c:v>
                </c:pt>
                <c:pt idx="1">
                  <c:v>1</c:v>
                </c:pt>
                <c:pt idx="2">
                  <c:v>3</c:v>
                </c:pt>
                <c:pt idx="3">
                  <c:v>3</c:v>
                </c:pt>
                <c:pt idx="4">
                  <c:v>1</c:v>
                </c:pt>
                <c:pt idx="5">
                  <c:v>3</c:v>
                </c:pt>
                <c:pt idx="6">
                  <c:v>2</c:v>
                </c:pt>
                <c:pt idx="7">
                  <c:v>3</c:v>
                </c:pt>
                <c:pt idx="9">
                  <c:v>5</c:v>
                </c:pt>
                <c:pt idx="10">
                  <c:v>3</c:v>
                </c:pt>
                <c:pt idx="12">
                  <c:v>4</c:v>
                </c:pt>
                <c:pt idx="13">
                  <c:v>2</c:v>
                </c:pt>
                <c:pt idx="14">
                  <c:v>2</c:v>
                </c:pt>
                <c:pt idx="15">
                  <c:v>1</c:v>
                </c:pt>
                <c:pt idx="16">
                  <c:v>1</c:v>
                </c:pt>
                <c:pt idx="17">
                  <c:v>1</c:v>
                </c:pt>
                <c:pt idx="18">
                  <c:v>3</c:v>
                </c:pt>
                <c:pt idx="19">
                  <c:v>4</c:v>
                </c:pt>
                <c:pt idx="20">
                  <c:v>5</c:v>
                </c:pt>
                <c:pt idx="21">
                  <c:v>2</c:v>
                </c:pt>
                <c:pt idx="22">
                  <c:v>3</c:v>
                </c:pt>
                <c:pt idx="23">
                  <c:v>4</c:v>
                </c:pt>
                <c:pt idx="24">
                  <c:v>3</c:v>
                </c:pt>
                <c:pt idx="25">
                  <c:v>1</c:v>
                </c:pt>
                <c:pt idx="26">
                  <c:v>5</c:v>
                </c:pt>
                <c:pt idx="27">
                  <c:v>2</c:v>
                </c:pt>
                <c:pt idx="28">
                  <c:v>2</c:v>
                </c:pt>
                <c:pt idx="29">
                  <c:v>1</c:v>
                </c:pt>
                <c:pt idx="30">
                  <c:v>6</c:v>
                </c:pt>
                <c:pt idx="31">
                  <c:v>4</c:v>
                </c:pt>
                <c:pt idx="32">
                  <c:v>1</c:v>
                </c:pt>
                <c:pt idx="33">
                  <c:v>2</c:v>
                </c:pt>
              </c:numCache>
            </c:numRef>
          </c:val>
          <c:extLst>
            <c:ext xmlns:c16="http://schemas.microsoft.com/office/drawing/2014/chart" uri="{C3380CC4-5D6E-409C-BE32-E72D297353CC}">
              <c16:uniqueId val="{0000004F-374A-4A2B-B774-6D0E7DE74E69}"/>
            </c:ext>
          </c:extLst>
        </c:ser>
        <c:ser>
          <c:idx val="2"/>
          <c:order val="2"/>
          <c:tx>
            <c:strRef>
              <c:f>Pivot_tables!$D$3:$D$4</c:f>
              <c:strCache>
                <c:ptCount val="1"/>
                <c:pt idx="0">
                  <c:v>Overweight</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Pivot_tables!$A$5:$A$39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Pivot_tables!$D$5:$D$39</c:f>
              <c:numCache>
                <c:formatCode>General</c:formatCode>
                <c:ptCount val="34"/>
                <c:pt idx="0">
                  <c:v>2</c:v>
                </c:pt>
                <c:pt idx="1">
                  <c:v>1</c:v>
                </c:pt>
                <c:pt idx="4">
                  <c:v>1</c:v>
                </c:pt>
                <c:pt idx="5">
                  <c:v>1</c:v>
                </c:pt>
                <c:pt idx="7">
                  <c:v>2</c:v>
                </c:pt>
                <c:pt idx="8">
                  <c:v>1</c:v>
                </c:pt>
                <c:pt idx="10">
                  <c:v>1</c:v>
                </c:pt>
                <c:pt idx="11">
                  <c:v>1</c:v>
                </c:pt>
                <c:pt idx="16">
                  <c:v>1</c:v>
                </c:pt>
                <c:pt idx="17">
                  <c:v>1</c:v>
                </c:pt>
              </c:numCache>
            </c:numRef>
          </c:val>
          <c:extLst>
            <c:ext xmlns:c16="http://schemas.microsoft.com/office/drawing/2014/chart" uri="{C3380CC4-5D6E-409C-BE32-E72D297353CC}">
              <c16:uniqueId val="{00000050-374A-4A2B-B774-6D0E7DE74E69}"/>
            </c:ext>
          </c:extLst>
        </c:ser>
        <c:dLbls>
          <c:showLegendKey val="0"/>
          <c:showVal val="0"/>
          <c:showCatName val="0"/>
          <c:showSerName val="0"/>
          <c:showPercent val="0"/>
          <c:showBubbleSize val="0"/>
        </c:dLbls>
        <c:gapWidth val="100"/>
        <c:overlap val="-24"/>
        <c:axId val="32128544"/>
        <c:axId val="762874400"/>
      </c:barChart>
      <c:catAx>
        <c:axId val="321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62874400"/>
        <c:crosses val="autoZero"/>
        <c:auto val="1"/>
        <c:lblAlgn val="ctr"/>
        <c:lblOffset val="100"/>
        <c:noMultiLvlLbl val="0"/>
      </c:catAx>
      <c:valAx>
        <c:axId val="76287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212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[Day3.xlsx]Bar chart!PivotTable2</c:name>
    <c:fmtId val="0"/>
  </c:pivotSource>
  <c:chart>
    <c:autoTitleDeleted val="0"/>
    <c:pivotFmts>
      <c:pivotFmt>
        <c:idx val="0"/>
        <c:spPr>
          <a:noFill/>
          <a:ln w="25400" cap="flat" cmpd="sng" algn="ctr">
            <a:solidFill>
              <a:schemeClr val="accent1"/>
            </a:solidFill>
            <a:miter lim="800000"/>
          </a:ln>
          <a:effectLst/>
        </c:spPr>
        <c:marker>
          <c:symbol val="none"/>
        </c:marker>
      </c:pivotFmt>
      <c:pivotFmt>
        <c:idx val="1"/>
        <c:spPr>
          <a:noFill/>
          <a:ln w="25400" cap="flat" cmpd="sng" algn="ctr">
            <a:solidFill>
              <a:schemeClr val="accent1"/>
            </a:solidFill>
            <a:miter lim="800000"/>
          </a:ln>
          <a:effectLst/>
        </c:spPr>
        <c:marker>
          <c:symbol val="none"/>
        </c:marker>
      </c:pivotFmt>
      <c:pivotFmt>
        <c:idx val="2"/>
        <c:spPr>
          <a:noFill/>
          <a:ln w="25400" cap="flat" cmpd="sng" algn="ctr">
            <a:solidFill>
              <a:schemeClr val="accent1"/>
            </a:solidFill>
            <a:miter lim="800000"/>
          </a:ln>
          <a:effectLst/>
        </c:spPr>
        <c:marker>
          <c:symbol val="none"/>
        </c:marker>
      </c:pivotFmt>
    </c:pivotFmts>
    <c:plotArea>
      <c:layout/>
      <c:barChart>
        <c:barDir val="bar"/>
        <c:grouping val="clustered"/>
        <c:varyColors val="0"/>
        <c:ser>
          <c:idx val="0"/>
          <c:order val="0"/>
          <c:tx>
            <c:strRef>
              <c:f>'Bar chart'!$B$3:$B$4</c:f>
              <c:strCache>
                <c:ptCount val="1"/>
                <c:pt idx="0">
                  <c:v>Healthy Weight</c:v>
                </c:pt>
              </c:strCache>
            </c:strRef>
          </c:tx>
          <c:spPr>
            <a:noFill/>
            <a:ln w="25400" cap="flat" cmpd="sng" algn="ctr">
              <a:solidFill>
                <a:schemeClr val="accent1"/>
              </a:solidFill>
              <a:miter lim="800000"/>
            </a:ln>
            <a:effectLst/>
          </c:spPr>
          <c:invertIfNegative val="0"/>
          <c:cat>
            <c:strRef>
              <c:f>'Bar chart'!$A$5:$A$32</c:f>
              <c:strCache>
                <c:ptCount val="27"/>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2.5</c:v>
                </c:pt>
                <c:pt idx="20">
                  <c:v>2.6</c:v>
                </c:pt>
                <c:pt idx="21">
                  <c:v>2.8</c:v>
                </c:pt>
                <c:pt idx="22">
                  <c:v>2.9</c:v>
                </c:pt>
                <c:pt idx="23">
                  <c:v>3</c:v>
                </c:pt>
                <c:pt idx="24">
                  <c:v>3.1</c:v>
                </c:pt>
                <c:pt idx="25">
                  <c:v>3.2</c:v>
                </c:pt>
                <c:pt idx="26">
                  <c:v>3.8</c:v>
                </c:pt>
              </c:strCache>
            </c:strRef>
          </c:cat>
          <c:val>
            <c:numRef>
              <c:f>'Bar chart'!$B$5:$B$32</c:f>
              <c:numCache>
                <c:formatCode>General</c:formatCode>
                <c:ptCount val="27"/>
                <c:pt idx="8">
                  <c:v>1</c:v>
                </c:pt>
              </c:numCache>
            </c:numRef>
          </c:val>
          <c:extLst>
            <c:ext xmlns:c16="http://schemas.microsoft.com/office/drawing/2014/chart" uri="{C3380CC4-5D6E-409C-BE32-E72D297353CC}">
              <c16:uniqueId val="{00000000-AF56-444A-B1A1-364CCAA4C7C3}"/>
            </c:ext>
          </c:extLst>
        </c:ser>
        <c:ser>
          <c:idx val="1"/>
          <c:order val="1"/>
          <c:tx>
            <c:strRef>
              <c:f>'Bar chart'!$C$3:$C$4</c:f>
              <c:strCache>
                <c:ptCount val="1"/>
                <c:pt idx="0">
                  <c:v>obese</c:v>
                </c:pt>
              </c:strCache>
            </c:strRef>
          </c:tx>
          <c:spPr>
            <a:noFill/>
            <a:ln w="25400" cap="flat" cmpd="sng" algn="ctr">
              <a:solidFill>
                <a:schemeClr val="accent2"/>
              </a:solidFill>
              <a:miter lim="800000"/>
            </a:ln>
            <a:effectLst/>
          </c:spPr>
          <c:invertIfNegative val="0"/>
          <c:cat>
            <c:strRef>
              <c:f>'Bar chart'!$A$5:$A$32</c:f>
              <c:strCache>
                <c:ptCount val="27"/>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2.5</c:v>
                </c:pt>
                <c:pt idx="20">
                  <c:v>2.6</c:v>
                </c:pt>
                <c:pt idx="21">
                  <c:v>2.8</c:v>
                </c:pt>
                <c:pt idx="22">
                  <c:v>2.9</c:v>
                </c:pt>
                <c:pt idx="23">
                  <c:v>3</c:v>
                </c:pt>
                <c:pt idx="24">
                  <c:v>3.1</c:v>
                </c:pt>
                <c:pt idx="25">
                  <c:v>3.2</c:v>
                </c:pt>
                <c:pt idx="26">
                  <c:v>3.8</c:v>
                </c:pt>
              </c:strCache>
            </c:strRef>
          </c:cat>
          <c:val>
            <c:numRef>
              <c:f>'Bar chart'!$C$5:$C$32</c:f>
              <c:numCache>
                <c:formatCode>General</c:formatCode>
                <c:ptCount val="27"/>
                <c:pt idx="0">
                  <c:v>1.2</c:v>
                </c:pt>
                <c:pt idx="1">
                  <c:v>0.625</c:v>
                </c:pt>
                <c:pt idx="2">
                  <c:v>0.75</c:v>
                </c:pt>
                <c:pt idx="3">
                  <c:v>0.41666666666666669</c:v>
                </c:pt>
                <c:pt idx="4">
                  <c:v>0.42857142857142855</c:v>
                </c:pt>
                <c:pt idx="5">
                  <c:v>1</c:v>
                </c:pt>
                <c:pt idx="6">
                  <c:v>1.6666666666666667</c:v>
                </c:pt>
                <c:pt idx="7">
                  <c:v>2.25</c:v>
                </c:pt>
                <c:pt idx="8">
                  <c:v>1.6666666666666667</c:v>
                </c:pt>
                <c:pt idx="9">
                  <c:v>1</c:v>
                </c:pt>
                <c:pt idx="10">
                  <c:v>1</c:v>
                </c:pt>
                <c:pt idx="11">
                  <c:v>2</c:v>
                </c:pt>
                <c:pt idx="12">
                  <c:v>1.6</c:v>
                </c:pt>
                <c:pt idx="13">
                  <c:v>2</c:v>
                </c:pt>
                <c:pt idx="14">
                  <c:v>2</c:v>
                </c:pt>
                <c:pt idx="15">
                  <c:v>1.4</c:v>
                </c:pt>
                <c:pt idx="16">
                  <c:v>3</c:v>
                </c:pt>
                <c:pt idx="17">
                  <c:v>2</c:v>
                </c:pt>
                <c:pt idx="18">
                  <c:v>2</c:v>
                </c:pt>
                <c:pt idx="19">
                  <c:v>2</c:v>
                </c:pt>
                <c:pt idx="20">
                  <c:v>2</c:v>
                </c:pt>
                <c:pt idx="21">
                  <c:v>2</c:v>
                </c:pt>
                <c:pt idx="22">
                  <c:v>3</c:v>
                </c:pt>
                <c:pt idx="23">
                  <c:v>3</c:v>
                </c:pt>
                <c:pt idx="24">
                  <c:v>3</c:v>
                </c:pt>
                <c:pt idx="25">
                  <c:v>3</c:v>
                </c:pt>
                <c:pt idx="26">
                  <c:v>3</c:v>
                </c:pt>
              </c:numCache>
            </c:numRef>
          </c:val>
          <c:extLst>
            <c:ext xmlns:c16="http://schemas.microsoft.com/office/drawing/2014/chart" uri="{C3380CC4-5D6E-409C-BE32-E72D297353CC}">
              <c16:uniqueId val="{00000001-AF56-444A-B1A1-364CCAA4C7C3}"/>
            </c:ext>
          </c:extLst>
        </c:ser>
        <c:ser>
          <c:idx val="2"/>
          <c:order val="2"/>
          <c:tx>
            <c:strRef>
              <c:f>'Bar chart'!$D$3:$D$4</c:f>
              <c:strCache>
                <c:ptCount val="1"/>
                <c:pt idx="0">
                  <c:v>Overweight</c:v>
                </c:pt>
              </c:strCache>
            </c:strRef>
          </c:tx>
          <c:spPr>
            <a:noFill/>
            <a:ln w="25400" cap="flat" cmpd="sng" algn="ctr">
              <a:solidFill>
                <a:schemeClr val="accent3"/>
              </a:solidFill>
              <a:miter lim="800000"/>
            </a:ln>
            <a:effectLst/>
          </c:spPr>
          <c:invertIfNegative val="0"/>
          <c:cat>
            <c:strRef>
              <c:f>'Bar chart'!$A$5:$A$32</c:f>
              <c:strCache>
                <c:ptCount val="27"/>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2.5</c:v>
                </c:pt>
                <c:pt idx="20">
                  <c:v>2.6</c:v>
                </c:pt>
                <c:pt idx="21">
                  <c:v>2.8</c:v>
                </c:pt>
                <c:pt idx="22">
                  <c:v>2.9</c:v>
                </c:pt>
                <c:pt idx="23">
                  <c:v>3</c:v>
                </c:pt>
                <c:pt idx="24">
                  <c:v>3.1</c:v>
                </c:pt>
                <c:pt idx="25">
                  <c:v>3.2</c:v>
                </c:pt>
                <c:pt idx="26">
                  <c:v>3.8</c:v>
                </c:pt>
              </c:strCache>
            </c:strRef>
          </c:cat>
          <c:val>
            <c:numRef>
              <c:f>'Bar chart'!$D$5:$D$32</c:f>
              <c:numCache>
                <c:formatCode>General</c:formatCode>
                <c:ptCount val="27"/>
                <c:pt idx="0">
                  <c:v>0</c:v>
                </c:pt>
                <c:pt idx="1">
                  <c:v>0</c:v>
                </c:pt>
                <c:pt idx="3">
                  <c:v>0</c:v>
                </c:pt>
                <c:pt idx="4">
                  <c:v>0.5</c:v>
                </c:pt>
                <c:pt idx="6">
                  <c:v>3</c:v>
                </c:pt>
                <c:pt idx="8">
                  <c:v>2.5</c:v>
                </c:pt>
                <c:pt idx="13">
                  <c:v>2</c:v>
                </c:pt>
                <c:pt idx="15">
                  <c:v>1</c:v>
                </c:pt>
                <c:pt idx="17">
                  <c:v>3</c:v>
                </c:pt>
                <c:pt idx="20">
                  <c:v>2</c:v>
                </c:pt>
              </c:numCache>
            </c:numRef>
          </c:val>
          <c:extLst>
            <c:ext xmlns:c16="http://schemas.microsoft.com/office/drawing/2014/chart" uri="{C3380CC4-5D6E-409C-BE32-E72D297353CC}">
              <c16:uniqueId val="{00000002-AF56-444A-B1A1-364CCAA4C7C3}"/>
            </c:ext>
          </c:extLst>
        </c:ser>
        <c:dLbls>
          <c:showLegendKey val="0"/>
          <c:showVal val="0"/>
          <c:showCatName val="0"/>
          <c:showSerName val="0"/>
          <c:showPercent val="0"/>
          <c:showBubbleSize val="0"/>
        </c:dLbls>
        <c:gapWidth val="227"/>
        <c:overlap val="-48"/>
        <c:axId val="849046576"/>
        <c:axId val="852522528"/>
      </c:barChart>
      <c:catAx>
        <c:axId val="849046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2522528"/>
        <c:crosses val="autoZero"/>
        <c:auto val="1"/>
        <c:lblAlgn val="ctr"/>
        <c:lblOffset val="100"/>
        <c:noMultiLvlLbl val="0"/>
      </c:catAx>
      <c:valAx>
        <c:axId val="852522528"/>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90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[Day3.xlsx]Pivot_tables!PivotTable1</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Pivot_tables!$B$3:$B$4</c:f>
              <c:strCache>
                <c:ptCount val="1"/>
                <c:pt idx="0">
                  <c:v>Healthy Weight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Pivot_tables!$A$5:$A$39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Pivot_tables!$B$5:$B$39</c:f>
              <c:numCache>
                <c:formatCode>General</c:formatCode>
                <c:ptCount val="34"/>
                <c:pt idx="7">
                  <c:v>1</c:v>
                </c:pt>
              </c:numCache>
            </c:numRef>
          </c:val>
          <c:extLst>
            <c:ext xmlns:c16="http://schemas.microsoft.com/office/drawing/2014/chart" uri="{C3380CC4-5D6E-409C-BE32-E72D297353CC}">
              <c16:uniqueId val="{00000000-4553-46DA-8AE9-AFC5E61FCE4B}"/>
            </c:ext>
          </c:extLst>
        </c:ser>
        <c:ser>
          <c:idx val="1"/>
          <c:order val="1"/>
          <c:tx>
            <c:strRef>
              <c:f>Pivot_tables!$C$3:$C$4</c:f>
              <c:strCache>
                <c:ptCount val="1"/>
                <c:pt idx="0">
                  <c:v>obese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Pivot_tables!$A$5:$A$39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Pivot_tables!$C$5:$C$39</c:f>
              <c:numCache>
                <c:formatCode>General</c:formatCode>
                <c:ptCount val="34"/>
                <c:pt idx="0">
                  <c:v>4</c:v>
                </c:pt>
                <c:pt idx="1">
                  <c:v>1</c:v>
                </c:pt>
                <c:pt idx="2">
                  <c:v>3</c:v>
                </c:pt>
                <c:pt idx="3">
                  <c:v>3</c:v>
                </c:pt>
                <c:pt idx="4">
                  <c:v>1</c:v>
                </c:pt>
                <c:pt idx="5">
                  <c:v>3</c:v>
                </c:pt>
                <c:pt idx="6">
                  <c:v>2</c:v>
                </c:pt>
                <c:pt idx="7">
                  <c:v>3</c:v>
                </c:pt>
                <c:pt idx="9">
                  <c:v>5</c:v>
                </c:pt>
                <c:pt idx="10">
                  <c:v>3</c:v>
                </c:pt>
                <c:pt idx="12">
                  <c:v>4</c:v>
                </c:pt>
                <c:pt idx="13">
                  <c:v>2</c:v>
                </c:pt>
                <c:pt idx="14">
                  <c:v>2</c:v>
                </c:pt>
                <c:pt idx="15">
                  <c:v>1</c:v>
                </c:pt>
                <c:pt idx="16">
                  <c:v>1</c:v>
                </c:pt>
                <c:pt idx="17">
                  <c:v>1</c:v>
                </c:pt>
                <c:pt idx="18">
                  <c:v>3</c:v>
                </c:pt>
                <c:pt idx="19">
                  <c:v>4</c:v>
                </c:pt>
                <c:pt idx="20">
                  <c:v>5</c:v>
                </c:pt>
                <c:pt idx="21">
                  <c:v>2</c:v>
                </c:pt>
                <c:pt idx="22">
                  <c:v>3</c:v>
                </c:pt>
                <c:pt idx="23">
                  <c:v>4</c:v>
                </c:pt>
                <c:pt idx="24">
                  <c:v>3</c:v>
                </c:pt>
                <c:pt idx="25">
                  <c:v>1</c:v>
                </c:pt>
                <c:pt idx="26">
                  <c:v>5</c:v>
                </c:pt>
                <c:pt idx="27">
                  <c:v>2</c:v>
                </c:pt>
                <c:pt idx="28">
                  <c:v>2</c:v>
                </c:pt>
                <c:pt idx="29">
                  <c:v>1</c:v>
                </c:pt>
                <c:pt idx="30">
                  <c:v>6</c:v>
                </c:pt>
                <c:pt idx="31">
                  <c:v>4</c:v>
                </c:pt>
                <c:pt idx="32">
                  <c:v>1</c:v>
                </c:pt>
                <c:pt idx="33">
                  <c:v>2</c:v>
                </c:pt>
              </c:numCache>
            </c:numRef>
          </c:val>
          <c:extLst>
            <c:ext xmlns:c16="http://schemas.microsoft.com/office/drawing/2014/chart" uri="{C3380CC4-5D6E-409C-BE32-E72D297353CC}">
              <c16:uniqueId val="{00000001-4553-46DA-8AE9-AFC5E61FCE4B}"/>
            </c:ext>
          </c:extLst>
        </c:ser>
        <c:ser>
          <c:idx val="2"/>
          <c:order val="2"/>
          <c:tx>
            <c:strRef>
              <c:f>Pivot_tables!$D$3:$D$4</c:f>
              <c:strCache>
                <c:ptCount val="1"/>
                <c:pt idx="0">
                  <c:v>Overweight</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Pivot_tables!$A$5:$A$39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Pivot_tables!$D$5:$D$39</c:f>
              <c:numCache>
                <c:formatCode>General</c:formatCode>
                <c:ptCount val="34"/>
                <c:pt idx="0">
                  <c:v>2</c:v>
                </c:pt>
                <c:pt idx="1">
                  <c:v>1</c:v>
                </c:pt>
                <c:pt idx="4">
                  <c:v>1</c:v>
                </c:pt>
                <c:pt idx="5">
                  <c:v>1</c:v>
                </c:pt>
                <c:pt idx="7">
                  <c:v>2</c:v>
                </c:pt>
                <c:pt idx="8">
                  <c:v>1</c:v>
                </c:pt>
                <c:pt idx="10">
                  <c:v>1</c:v>
                </c:pt>
                <c:pt idx="11">
                  <c:v>1</c:v>
                </c:pt>
                <c:pt idx="16">
                  <c:v>1</c:v>
                </c:pt>
                <c:pt idx="17">
                  <c:v>1</c:v>
                </c:pt>
              </c:numCache>
            </c:numRef>
          </c:val>
          <c:extLst>
            <c:ext xmlns:c16="http://schemas.microsoft.com/office/drawing/2014/chart" uri="{C3380CC4-5D6E-409C-BE32-E72D297353CC}">
              <c16:uniqueId val="{00000002-4553-46DA-8AE9-AFC5E61FCE4B}"/>
            </c:ext>
          </c:extLst>
        </c:ser>
        <c:dLbls>
          <c:showLegendKey val="0"/>
          <c:showVal val="0"/>
          <c:showCatName val="0"/>
          <c:showSerName val="0"/>
          <c:showPercent val="0"/>
          <c:showBubbleSize val="0"/>
        </c:dLbls>
        <c:gapWidth val="100"/>
        <c:overlap val="-24"/>
        <c:axId val="32128544"/>
        <c:axId val="762874400"/>
      </c:barChart>
      <c:catAx>
        <c:axId val="321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62874400"/>
        <c:crosses val="autoZero"/>
        <c:auto val="1"/>
        <c:lblAlgn val="ctr"/>
        <c:lblOffset val="100"/>
        <c:noMultiLvlLbl val="0"/>
      </c:catAx>
      <c:valAx>
        <c:axId val="76287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212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[Day3.xlsx]Bar chart!PivotTable2</c:name>
    <c:fmtId val="2"/>
  </c:pivotSource>
  <c:chart>
    <c:autoTitleDeleted val="0"/>
    <c:pivotFmts>
      <c:pivotFmt>
        <c:idx val="0"/>
        <c:spPr>
          <a:noFill/>
          <a:ln w="25400" cap="flat" cmpd="sng" algn="ctr">
            <a:solidFill>
              <a:schemeClr val="accent1"/>
            </a:solidFill>
            <a:miter lim="800000"/>
          </a:ln>
          <a:effectLst/>
        </c:spPr>
        <c:marker>
          <c:symbol val="none"/>
        </c:marker>
      </c:pivotFmt>
      <c:pivotFmt>
        <c:idx val="1"/>
        <c:spPr>
          <a:noFill/>
          <a:ln w="25400" cap="flat" cmpd="sng" algn="ctr">
            <a:solidFill>
              <a:schemeClr val="accent1"/>
            </a:solidFill>
            <a:miter lim="800000"/>
          </a:ln>
          <a:effectLst/>
        </c:spPr>
        <c:marker>
          <c:symbol val="none"/>
        </c:marker>
      </c:pivotFmt>
      <c:pivotFmt>
        <c:idx val="2"/>
        <c:spPr>
          <a:noFill/>
          <a:ln w="25400" cap="flat" cmpd="sng" algn="ctr">
            <a:solidFill>
              <a:schemeClr val="accent1"/>
            </a:solidFill>
            <a:miter lim="800000"/>
          </a:ln>
          <a:effectLst/>
        </c:spPr>
        <c:marker>
          <c:symbol val="none"/>
        </c:marker>
      </c:pivotFmt>
      <c:pivotFmt>
        <c:idx val="3"/>
        <c:spPr>
          <a:noFill/>
          <a:ln w="25400" cap="flat" cmpd="sng" algn="ctr">
            <a:solidFill>
              <a:schemeClr val="accent1"/>
            </a:solidFill>
            <a:miter lim="800000"/>
          </a:ln>
          <a:effectLst/>
        </c:spPr>
        <c:marker>
          <c:symbol val="none"/>
        </c:marker>
      </c:pivotFmt>
      <c:pivotFmt>
        <c:idx val="4"/>
        <c:spPr>
          <a:noFill/>
          <a:ln w="25400" cap="flat" cmpd="sng" algn="ctr">
            <a:solidFill>
              <a:schemeClr val="accent1"/>
            </a:solidFill>
            <a:miter lim="800000"/>
          </a:ln>
          <a:effectLst/>
        </c:spPr>
        <c:marker>
          <c:symbol val="none"/>
        </c:marker>
      </c:pivotFmt>
      <c:pivotFmt>
        <c:idx val="5"/>
        <c:spPr>
          <a:noFill/>
          <a:ln w="25400" cap="flat" cmpd="sng" algn="ctr">
            <a:solidFill>
              <a:schemeClr val="accent1"/>
            </a:solidFill>
            <a:miter lim="800000"/>
          </a:ln>
          <a:effectLst/>
        </c:spPr>
        <c:marker>
          <c:symbol val="none"/>
        </c:marker>
      </c:pivotFmt>
      <c:pivotFmt>
        <c:idx val="6"/>
        <c:spPr>
          <a:noFill/>
          <a:ln w="25400" cap="flat" cmpd="sng" algn="ctr">
            <a:solidFill>
              <a:schemeClr val="accent1"/>
            </a:solidFill>
            <a:miter lim="800000"/>
          </a:ln>
          <a:effectLst/>
        </c:spPr>
        <c:marker>
          <c:symbol val="none"/>
        </c:marker>
      </c:pivotFmt>
      <c:pivotFmt>
        <c:idx val="7"/>
        <c:spPr>
          <a:noFill/>
          <a:ln w="25400" cap="flat" cmpd="sng" algn="ctr">
            <a:solidFill>
              <a:schemeClr val="accent1"/>
            </a:solidFill>
            <a:miter lim="800000"/>
          </a:ln>
          <a:effectLst/>
        </c:spPr>
        <c:marker>
          <c:symbol val="none"/>
        </c:marker>
      </c:pivotFmt>
      <c:pivotFmt>
        <c:idx val="8"/>
        <c:spPr>
          <a:noFill/>
          <a:ln w="25400" cap="flat" cmpd="sng" algn="ctr">
            <a:solidFill>
              <a:schemeClr val="accent1"/>
            </a:solidFill>
            <a:miter lim="800000"/>
          </a:ln>
          <a:effectLst/>
        </c:spPr>
        <c:marker>
          <c:symbol val="none"/>
        </c:marker>
      </c:pivotFmt>
    </c:pivotFmts>
    <c:plotArea>
      <c:layout>
        <c:manualLayout>
          <c:layoutTarget val="inner"/>
          <c:xMode val="edge"/>
          <c:yMode val="edge"/>
          <c:x val="0.32080314960629919"/>
          <c:y val="0.16633858267716536"/>
          <c:w val="0.41944160104986877"/>
          <c:h val="0.74015091863517057"/>
        </c:manualLayout>
      </c:layout>
      <c:barChart>
        <c:barDir val="bar"/>
        <c:grouping val="clustered"/>
        <c:varyColors val="0"/>
        <c:ser>
          <c:idx val="0"/>
          <c:order val="0"/>
          <c:tx>
            <c:strRef>
              <c:f>'Bar chart'!$B$3:$B$4</c:f>
              <c:strCache>
                <c:ptCount val="1"/>
                <c:pt idx="0">
                  <c:v>Healthy Weight</c:v>
                </c:pt>
              </c:strCache>
            </c:strRef>
          </c:tx>
          <c:spPr>
            <a:noFill/>
            <a:ln w="25400" cap="flat" cmpd="sng" algn="ctr">
              <a:solidFill>
                <a:schemeClr val="accent1"/>
              </a:solidFill>
              <a:miter lim="800000"/>
            </a:ln>
            <a:effectLst/>
          </c:spPr>
          <c:invertIfNegative val="0"/>
          <c:cat>
            <c:strRef>
              <c:f>'Bar chart'!$A$5:$A$32</c:f>
              <c:strCache>
                <c:ptCount val="27"/>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2.5</c:v>
                </c:pt>
                <c:pt idx="20">
                  <c:v>2.6</c:v>
                </c:pt>
                <c:pt idx="21">
                  <c:v>2.8</c:v>
                </c:pt>
                <c:pt idx="22">
                  <c:v>2.9</c:v>
                </c:pt>
                <c:pt idx="23">
                  <c:v>3</c:v>
                </c:pt>
                <c:pt idx="24">
                  <c:v>3.1</c:v>
                </c:pt>
                <c:pt idx="25">
                  <c:v>3.2</c:v>
                </c:pt>
                <c:pt idx="26">
                  <c:v>3.8</c:v>
                </c:pt>
              </c:strCache>
            </c:strRef>
          </c:cat>
          <c:val>
            <c:numRef>
              <c:f>'Bar chart'!$B$5:$B$32</c:f>
              <c:numCache>
                <c:formatCode>General</c:formatCode>
                <c:ptCount val="27"/>
                <c:pt idx="8">
                  <c:v>1</c:v>
                </c:pt>
              </c:numCache>
            </c:numRef>
          </c:val>
          <c:extLst>
            <c:ext xmlns:c16="http://schemas.microsoft.com/office/drawing/2014/chart" uri="{C3380CC4-5D6E-409C-BE32-E72D297353CC}">
              <c16:uniqueId val="{00000000-1681-4A34-ACB3-A2B6DC146EF3}"/>
            </c:ext>
          </c:extLst>
        </c:ser>
        <c:ser>
          <c:idx val="1"/>
          <c:order val="1"/>
          <c:tx>
            <c:strRef>
              <c:f>'Bar chart'!$C$3:$C$4</c:f>
              <c:strCache>
                <c:ptCount val="1"/>
                <c:pt idx="0">
                  <c:v>obese</c:v>
                </c:pt>
              </c:strCache>
            </c:strRef>
          </c:tx>
          <c:spPr>
            <a:noFill/>
            <a:ln w="25400" cap="flat" cmpd="sng" algn="ctr">
              <a:solidFill>
                <a:schemeClr val="accent2"/>
              </a:solidFill>
              <a:miter lim="800000"/>
            </a:ln>
            <a:effectLst/>
          </c:spPr>
          <c:invertIfNegative val="0"/>
          <c:cat>
            <c:strRef>
              <c:f>'Bar chart'!$A$5:$A$32</c:f>
              <c:strCache>
                <c:ptCount val="27"/>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2.5</c:v>
                </c:pt>
                <c:pt idx="20">
                  <c:v>2.6</c:v>
                </c:pt>
                <c:pt idx="21">
                  <c:v>2.8</c:v>
                </c:pt>
                <c:pt idx="22">
                  <c:v>2.9</c:v>
                </c:pt>
                <c:pt idx="23">
                  <c:v>3</c:v>
                </c:pt>
                <c:pt idx="24">
                  <c:v>3.1</c:v>
                </c:pt>
                <c:pt idx="25">
                  <c:v>3.2</c:v>
                </c:pt>
                <c:pt idx="26">
                  <c:v>3.8</c:v>
                </c:pt>
              </c:strCache>
            </c:strRef>
          </c:cat>
          <c:val>
            <c:numRef>
              <c:f>'Bar chart'!$C$5:$C$32</c:f>
              <c:numCache>
                <c:formatCode>General</c:formatCode>
                <c:ptCount val="27"/>
                <c:pt idx="0">
                  <c:v>1.2</c:v>
                </c:pt>
                <c:pt idx="1">
                  <c:v>0.625</c:v>
                </c:pt>
                <c:pt idx="2">
                  <c:v>0.75</c:v>
                </c:pt>
                <c:pt idx="3">
                  <c:v>0.41666666666666669</c:v>
                </c:pt>
                <c:pt idx="4">
                  <c:v>0.42857142857142855</c:v>
                </c:pt>
                <c:pt idx="5">
                  <c:v>1</c:v>
                </c:pt>
                <c:pt idx="6">
                  <c:v>1.6666666666666667</c:v>
                </c:pt>
                <c:pt idx="7">
                  <c:v>2.25</c:v>
                </c:pt>
                <c:pt idx="8">
                  <c:v>1.6666666666666667</c:v>
                </c:pt>
                <c:pt idx="9">
                  <c:v>1</c:v>
                </c:pt>
                <c:pt idx="10">
                  <c:v>1</c:v>
                </c:pt>
                <c:pt idx="11">
                  <c:v>2</c:v>
                </c:pt>
                <c:pt idx="12">
                  <c:v>1.6</c:v>
                </c:pt>
                <c:pt idx="13">
                  <c:v>2</c:v>
                </c:pt>
                <c:pt idx="14">
                  <c:v>2</c:v>
                </c:pt>
                <c:pt idx="15">
                  <c:v>1.4</c:v>
                </c:pt>
                <c:pt idx="16">
                  <c:v>3</c:v>
                </c:pt>
                <c:pt idx="17">
                  <c:v>2</c:v>
                </c:pt>
                <c:pt idx="18">
                  <c:v>2</c:v>
                </c:pt>
                <c:pt idx="19">
                  <c:v>2</c:v>
                </c:pt>
                <c:pt idx="20">
                  <c:v>2</c:v>
                </c:pt>
                <c:pt idx="21">
                  <c:v>2</c:v>
                </c:pt>
                <c:pt idx="22">
                  <c:v>3</c:v>
                </c:pt>
                <c:pt idx="23">
                  <c:v>3</c:v>
                </c:pt>
                <c:pt idx="24">
                  <c:v>3</c:v>
                </c:pt>
                <c:pt idx="25">
                  <c:v>3</c:v>
                </c:pt>
                <c:pt idx="26">
                  <c:v>3</c:v>
                </c:pt>
              </c:numCache>
            </c:numRef>
          </c:val>
          <c:extLst>
            <c:ext xmlns:c16="http://schemas.microsoft.com/office/drawing/2014/chart" uri="{C3380CC4-5D6E-409C-BE32-E72D297353CC}">
              <c16:uniqueId val="{00000001-1681-4A34-ACB3-A2B6DC146EF3}"/>
            </c:ext>
          </c:extLst>
        </c:ser>
        <c:ser>
          <c:idx val="2"/>
          <c:order val="2"/>
          <c:tx>
            <c:strRef>
              <c:f>'Bar chart'!$D$3:$D$4</c:f>
              <c:strCache>
                <c:ptCount val="1"/>
                <c:pt idx="0">
                  <c:v>Overweight</c:v>
                </c:pt>
              </c:strCache>
            </c:strRef>
          </c:tx>
          <c:spPr>
            <a:noFill/>
            <a:ln w="25400" cap="flat" cmpd="sng" algn="ctr">
              <a:solidFill>
                <a:schemeClr val="accent3"/>
              </a:solidFill>
              <a:miter lim="800000"/>
            </a:ln>
            <a:effectLst/>
          </c:spPr>
          <c:invertIfNegative val="0"/>
          <c:cat>
            <c:strRef>
              <c:f>'Bar chart'!$A$5:$A$32</c:f>
              <c:strCache>
                <c:ptCount val="27"/>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2.5</c:v>
                </c:pt>
                <c:pt idx="20">
                  <c:v>2.6</c:v>
                </c:pt>
                <c:pt idx="21">
                  <c:v>2.8</c:v>
                </c:pt>
                <c:pt idx="22">
                  <c:v>2.9</c:v>
                </c:pt>
                <c:pt idx="23">
                  <c:v>3</c:v>
                </c:pt>
                <c:pt idx="24">
                  <c:v>3.1</c:v>
                </c:pt>
                <c:pt idx="25">
                  <c:v>3.2</c:v>
                </c:pt>
                <c:pt idx="26">
                  <c:v>3.8</c:v>
                </c:pt>
              </c:strCache>
            </c:strRef>
          </c:cat>
          <c:val>
            <c:numRef>
              <c:f>'Bar chart'!$D$5:$D$32</c:f>
              <c:numCache>
                <c:formatCode>General</c:formatCode>
                <c:ptCount val="27"/>
                <c:pt idx="0">
                  <c:v>0</c:v>
                </c:pt>
                <c:pt idx="1">
                  <c:v>0</c:v>
                </c:pt>
                <c:pt idx="3">
                  <c:v>0</c:v>
                </c:pt>
                <c:pt idx="4">
                  <c:v>0.5</c:v>
                </c:pt>
                <c:pt idx="6">
                  <c:v>3</c:v>
                </c:pt>
                <c:pt idx="8">
                  <c:v>2.5</c:v>
                </c:pt>
                <c:pt idx="13">
                  <c:v>2</c:v>
                </c:pt>
                <c:pt idx="15">
                  <c:v>1</c:v>
                </c:pt>
                <c:pt idx="17">
                  <c:v>3</c:v>
                </c:pt>
                <c:pt idx="20">
                  <c:v>2</c:v>
                </c:pt>
              </c:numCache>
            </c:numRef>
          </c:val>
          <c:extLst>
            <c:ext xmlns:c16="http://schemas.microsoft.com/office/drawing/2014/chart" uri="{C3380CC4-5D6E-409C-BE32-E72D297353CC}">
              <c16:uniqueId val="{00000002-1681-4A34-ACB3-A2B6DC146EF3}"/>
            </c:ext>
          </c:extLst>
        </c:ser>
        <c:dLbls>
          <c:showLegendKey val="0"/>
          <c:showVal val="0"/>
          <c:showCatName val="0"/>
          <c:showSerName val="0"/>
          <c:showPercent val="0"/>
          <c:showBubbleSize val="0"/>
        </c:dLbls>
        <c:gapWidth val="227"/>
        <c:overlap val="-48"/>
        <c:axId val="849046576"/>
        <c:axId val="852522528"/>
      </c:barChart>
      <c:catAx>
        <c:axId val="849046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2522528"/>
        <c:crosses val="autoZero"/>
        <c:auto val="1"/>
        <c:lblAlgn val="ctr"/>
        <c:lblOffset val="100"/>
        <c:noMultiLvlLbl val="0"/>
      </c:catAx>
      <c:valAx>
        <c:axId val="852522528"/>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90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[Day3.xlsx]Bar chart!PivotTable1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'Bar chart'!$H$28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'Bar chart'!$G$29:$G$31</c:f>
              <c:strCache>
                <c:ptCount val="2"/>
                <c:pt idx="0">
                  <c:v>Female</c:v>
                </c:pt>
                <c:pt idx="1">
                  <c:v>Male</c:v>
                </c:pt>
              </c:strCache>
            </c:strRef>
          </c:cat>
          <c:val>
            <c:numRef>
              <c:f>'Bar chart'!$H$29:$H$31</c:f>
              <c:numCache>
                <c:formatCode>General</c:formatCode>
                <c:ptCount val="2"/>
                <c:pt idx="0">
                  <c:v>48</c:v>
                </c:pt>
                <c:pt idx="1">
                  <c:v>52</c:v>
                </c:pt>
              </c:numCache>
            </c:numRef>
          </c:val>
          <c:extLst>
            <c:ext xmlns:c16="http://schemas.microsoft.com/office/drawing/2014/chart" uri="{C3380CC4-5D6E-409C-BE32-E72D297353CC}">
              <c16:uniqueId val="{00000000-D053-4B92-93E8-7DE77367AA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[Day3.xlsx]Sheet4!PivotTable3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Sheet4!$A$1</c:f>
              <c:strCache>
                <c:ptCount val="1"/>
                <c:pt idx="0">
                  <c:v>Count of Age_Months</c:v>
                </c:pt>
              </c:strCache>
            </c:strRef>
          </c:tx>
          <c:spPr>
            <a:solidFill>
              <a:schemeClr val="accent1"/>
            </a:solidFill>
            <a:ln>
              <a:noFill/>
            </a:ln>
            <a:effectLst/>
          </c:spPr>
          <c:invertIfNegative val="0"/>
          <c:cat>
            <c:strRef>
              <c:f>Sheet4!$A$2</c:f>
              <c:strCache>
                <c:ptCount val="1"/>
                <c:pt idx="0">
                  <c:v>Total</c:v>
                </c:pt>
              </c:strCache>
            </c:strRef>
          </c:cat>
          <c:val>
            <c:numRef>
              <c:f>Sheet4!$A$2</c:f>
              <c:numCache>
                <c:formatCode>General</c:formatCode>
                <c:ptCount val="1"/>
                <c:pt idx="0">
                  <c:v>100</c:v>
                </c:pt>
              </c:numCache>
            </c:numRef>
          </c:val>
          <c:extLst>
            <c:ext xmlns:c16="http://schemas.microsoft.com/office/drawing/2014/chart" uri="{C3380CC4-5D6E-409C-BE32-E72D297353CC}">
              <c16:uniqueId val="{00000000-AE73-42FB-B4CF-FBBC5FE6965D}"/>
            </c:ext>
          </c:extLst>
        </c:ser>
        <c:ser>
          <c:idx val="1"/>
          <c:order val="1"/>
          <c:tx>
            <c:strRef>
              <c:f>Sheet4!$B$1</c:f>
              <c:strCache>
                <c:ptCount val="1"/>
                <c:pt idx="0">
                  <c:v>Sum of BMI</c:v>
                </c:pt>
              </c:strCache>
            </c:strRef>
          </c:tx>
          <c:spPr>
            <a:solidFill>
              <a:schemeClr val="accent2"/>
            </a:solidFill>
            <a:ln>
              <a:noFill/>
            </a:ln>
            <a:effectLst/>
          </c:spPr>
          <c:invertIfNegative val="0"/>
          <c:cat>
            <c:strRef>
              <c:f>Sheet4!$A$2</c:f>
              <c:strCache>
                <c:ptCount val="1"/>
                <c:pt idx="0">
                  <c:v>Total</c:v>
                </c:pt>
              </c:strCache>
            </c:strRef>
          </c:cat>
          <c:val>
            <c:numRef>
              <c:f>Sheet4!$B$2</c:f>
              <c:numCache>
                <c:formatCode>General</c:formatCode>
                <c:ptCount val="1"/>
                <c:pt idx="0">
                  <c:v>3517.2883994333697</c:v>
                </c:pt>
              </c:numCache>
            </c:numRef>
          </c:val>
          <c:extLst>
            <c:ext xmlns:c16="http://schemas.microsoft.com/office/drawing/2014/chart" uri="{C3380CC4-5D6E-409C-BE32-E72D297353CC}">
              <c16:uniqueId val="{00000001-AE73-42FB-B4CF-FBBC5FE6965D}"/>
            </c:ext>
          </c:extLst>
        </c:ser>
        <c:dLbls>
          <c:showLegendKey val="0"/>
          <c:showVal val="0"/>
          <c:showCatName val="0"/>
          <c:showSerName val="0"/>
          <c:showPercent val="0"/>
          <c:showBubbleSize val="0"/>
        </c:dLbls>
        <c:gapWidth val="219"/>
        <c:axId val="2074625632"/>
        <c:axId val="553248767"/>
      </c:barChart>
      <c:catAx>
        <c:axId val="207462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48767"/>
        <c:crosses val="autoZero"/>
        <c:auto val="1"/>
        <c:lblAlgn val="ctr"/>
        <c:lblOffset val="100"/>
        <c:noMultiLvlLbl val="0"/>
      </c:catAx>
      <c:valAx>
        <c:axId val="55324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6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541CEE72-9EC1-415F-8EDC-A26481E06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95250</xdr:colOff>
      <xdr:row>2</xdr:row>
      <xdr:rowOff>50800</xdr:rowOff>
    </xdr:from>
    <xdr:to>
      <xdr:col>35</xdr:col>
      <xdr:colOff>279400</xdr:colOff>
      <xdr:row>17</xdr:row>
      <xdr:rowOff>31750</xdr:rowOff>
    </xdr:to>
    <xdr:graphicFrame macro="">
      <xdr:nvGraphicFramePr>
        <xdr:cNvPr id="2" name="Chart 1">
          <a:extLst>
            <a:ext uri="{FF2B5EF4-FFF2-40B4-BE49-F238E27FC236}">
              <a16:creationId xmlns:a16="http://schemas.microsoft.com/office/drawing/2014/main" id="{2DC8E54A-4FCD-4DD1-93D9-A927C9941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215900</xdr:colOff>
      <xdr:row>2</xdr:row>
      <xdr:rowOff>31751</xdr:rowOff>
    </xdr:from>
    <xdr:to>
      <xdr:col>6</xdr:col>
      <xdr:colOff>406400</xdr:colOff>
      <xdr:row>12</xdr:row>
      <xdr:rowOff>165101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1990955-9684-45F8-AD9D-3EEA5AF7BD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49850" y="400051"/>
              <a:ext cx="2667000" cy="197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581025</xdr:colOff>
      <xdr:row>2</xdr:row>
      <xdr:rowOff>12700</xdr:rowOff>
    </xdr:from>
    <xdr:to>
      <xdr:col>13</xdr:col>
      <xdr:colOff>276225</xdr:colOff>
      <xdr:row>16</xdr:row>
      <xdr:rowOff>177800</xdr:rowOff>
    </xdr:to>
    <xdr:graphicFrame macro="">
      <xdr:nvGraphicFramePr>
        <xdr:cNvPr id="2" name="Chart 1">
          <a:extLst>
            <a:ext uri="{FF2B5EF4-FFF2-40B4-BE49-F238E27FC236}">
              <a16:creationId xmlns:a16="http://schemas.microsoft.com/office/drawing/2014/main" id="{0F66D76C-6400-4E9F-BDC0-AFE42210F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590550</xdr:colOff>
      <xdr:row>4</xdr:row>
      <xdr:rowOff>127000</xdr:rowOff>
    </xdr:to>
    <xdr:sp macro="" textlink="">
      <xdr:nvSpPr>
        <xdr:cNvPr id="6" name="Rectangle 5">
          <a:extLst>
            <a:ext uri="{FF2B5EF4-FFF2-40B4-BE49-F238E27FC236}">
              <a16:creationId xmlns:a16="http://schemas.microsoft.com/office/drawing/2014/main" id="{FA9205FB-C048-4F26-9B65-84B8E3B6B13F}"/>
            </a:ext>
          </a:extLst>
        </xdr:cNvPr>
        <xdr:cNvSpPr/>
      </xdr:nvSpPr>
      <xdr:spPr>
        <a:xfrm>
          <a:off x="0" y="19050"/>
          <a:ext cx="12172950" cy="84455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latin typeface="Arial Black" panose="020B0A04020102020204" pitchFamily="34" charset="0"/>
            </a:rPr>
            <a:t> </a:t>
          </a:r>
          <a:r>
            <a:rPr lang="en-IN" sz="3600" i="1" u="sng">
              <a:solidFill>
                <a:srgbClr val="C00000"/>
              </a:solidFill>
              <a:latin typeface="Arial Black" panose="020B0A04020102020204" pitchFamily="34" charset="0"/>
            </a:rPr>
            <a:t>Children Nutrition &amp; Growth Analysis </a:t>
          </a:r>
          <a:r>
            <a:rPr lang="en-IN" sz="3600">
              <a:latin typeface="Arial Black" panose="020B0A04020102020204" pitchFamily="34" charset="0"/>
            </a:rPr>
            <a:t>Dashboard </a:t>
          </a:r>
        </a:p>
      </xdr:txBody>
    </xdr:sp>
    <xdr:clientData/>
  </xdr:twoCellAnchor>
  <xdr:twoCellAnchor>
    <xdr:from>
      <xdr:col>0</xdr:col>
      <xdr:colOff>0</xdr:colOff>
      <xdr:row>4</xdr:row>
      <xdr:rowOff>120650</xdr:rowOff>
    </xdr:from>
    <xdr:to>
      <xdr:col>3</xdr:col>
      <xdr:colOff>469900</xdr:colOff>
      <xdr:row>30</xdr:row>
      <xdr:rowOff>165100</xdr:rowOff>
    </xdr:to>
    <xdr:sp macro="" textlink="">
      <xdr:nvSpPr>
        <xdr:cNvPr id="7" name="Rectangle 6">
          <a:extLst>
            <a:ext uri="{FF2B5EF4-FFF2-40B4-BE49-F238E27FC236}">
              <a16:creationId xmlns:a16="http://schemas.microsoft.com/office/drawing/2014/main" id="{4B40E244-D2EB-4892-BC3A-88326C4DD8E6}"/>
            </a:ext>
          </a:extLst>
        </xdr:cNvPr>
        <xdr:cNvSpPr/>
      </xdr:nvSpPr>
      <xdr:spPr>
        <a:xfrm>
          <a:off x="0" y="857250"/>
          <a:ext cx="2298700" cy="4832350"/>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476250</xdr:colOff>
      <xdr:row>4</xdr:row>
      <xdr:rowOff>139700</xdr:rowOff>
    </xdr:from>
    <xdr:to>
      <xdr:col>19</xdr:col>
      <xdr:colOff>577850</xdr:colOff>
      <xdr:row>31</xdr:row>
      <xdr:rowOff>6350</xdr:rowOff>
    </xdr:to>
    <xdr:sp macro="" textlink="">
      <xdr:nvSpPr>
        <xdr:cNvPr id="9" name="Rectangle 8">
          <a:extLst>
            <a:ext uri="{FF2B5EF4-FFF2-40B4-BE49-F238E27FC236}">
              <a16:creationId xmlns:a16="http://schemas.microsoft.com/office/drawing/2014/main" id="{A51931FA-0DB4-4ECD-A96C-DACA1E582279}"/>
            </a:ext>
          </a:extLst>
        </xdr:cNvPr>
        <xdr:cNvSpPr/>
      </xdr:nvSpPr>
      <xdr:spPr>
        <a:xfrm>
          <a:off x="2305050" y="876300"/>
          <a:ext cx="9855200" cy="48387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165100</xdr:colOff>
      <xdr:row>5</xdr:row>
      <xdr:rowOff>76201</xdr:rowOff>
    </xdr:from>
    <xdr:to>
      <xdr:col>3</xdr:col>
      <xdr:colOff>165100</xdr:colOff>
      <xdr:row>11</xdr:row>
      <xdr:rowOff>101600</xdr:rowOff>
    </xdr:to>
    <mc:AlternateContent xmlns:mc="http://schemas.openxmlformats.org/markup-compatibility/2006">
      <mc:Choice xmlns:sle15="http://schemas.microsoft.com/office/drawing/2012/slicer" Requires="sle15">
        <xdr:graphicFrame macro="">
          <xdr:nvGraphicFramePr>
            <xdr:cNvPr id="10" name="Gender">
              <a:extLst>
                <a:ext uri="{FF2B5EF4-FFF2-40B4-BE49-F238E27FC236}">
                  <a16:creationId xmlns:a16="http://schemas.microsoft.com/office/drawing/2014/main" id="{F562F779-8223-4EC3-8E52-EACE9837F3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5100" y="996951"/>
              <a:ext cx="1828800" cy="11302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152400</xdr:colOff>
      <xdr:row>12</xdr:row>
      <xdr:rowOff>6351</xdr:rowOff>
    </xdr:from>
    <xdr:to>
      <xdr:col>3</xdr:col>
      <xdr:colOff>152400</xdr:colOff>
      <xdr:row>19</xdr:row>
      <xdr:rowOff>120651</xdr:rowOff>
    </xdr:to>
    <mc:AlternateContent xmlns:mc="http://schemas.openxmlformats.org/markup-compatibility/2006">
      <mc:Choice xmlns:sle15="http://schemas.microsoft.com/office/drawing/2012/slicer" Requires="sle15">
        <xdr:graphicFrame macro="">
          <xdr:nvGraphicFramePr>
            <xdr:cNvPr id="11" name="Health_status">
              <a:extLst>
                <a:ext uri="{FF2B5EF4-FFF2-40B4-BE49-F238E27FC236}">
                  <a16:creationId xmlns:a16="http://schemas.microsoft.com/office/drawing/2014/main" id="{9FB6DDF9-06BE-4FE8-9BD8-21CAFF3F9473}"/>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152400" y="2216151"/>
              <a:ext cx="1828800" cy="14033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158750</xdr:colOff>
      <xdr:row>19</xdr:row>
      <xdr:rowOff>177801</xdr:rowOff>
    </xdr:from>
    <xdr:to>
      <xdr:col>3</xdr:col>
      <xdr:colOff>158750</xdr:colOff>
      <xdr:row>29</xdr:row>
      <xdr:rowOff>146051</xdr:rowOff>
    </xdr:to>
    <mc:AlternateContent xmlns:mc="http://schemas.openxmlformats.org/markup-compatibility/2006">
      <mc:Choice xmlns:sle15="http://schemas.microsoft.com/office/drawing/2012/slicer" Requires="sle15">
        <xdr:graphicFrame macro="">
          <xdr:nvGraphicFramePr>
            <xdr:cNvPr id="12" name="Region 1">
              <a:extLst>
                <a:ext uri="{FF2B5EF4-FFF2-40B4-BE49-F238E27FC236}">
                  <a16:creationId xmlns:a16="http://schemas.microsoft.com/office/drawing/2014/main" id="{109DF438-9F2A-4C0A-8251-DE954B82F6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8750" y="3676651"/>
              <a:ext cx="1828800" cy="1809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4</xdr:col>
      <xdr:colOff>152400</xdr:colOff>
      <xdr:row>5</xdr:row>
      <xdr:rowOff>133350</xdr:rowOff>
    </xdr:from>
    <xdr:to>
      <xdr:col>11</xdr:col>
      <xdr:colOff>444500</xdr:colOff>
      <xdr:row>19</xdr:row>
      <xdr:rowOff>146050</xdr:rowOff>
    </xdr:to>
    <xdr:graphicFrame macro="">
      <xdr:nvGraphicFramePr>
        <xdr:cNvPr id="13" name="Chart 12">
          <a:extLst>
            <a:ext uri="{FF2B5EF4-FFF2-40B4-BE49-F238E27FC236}">
              <a16:creationId xmlns:a16="http://schemas.microsoft.com/office/drawing/2014/main" id="{B3401820-A590-4165-819B-1D32775AE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539750</xdr:colOff>
      <xdr:row>5</xdr:row>
      <xdr:rowOff>114300</xdr:rowOff>
    </xdr:from>
    <xdr:to>
      <xdr:col>19</xdr:col>
      <xdr:colOff>234950</xdr:colOff>
      <xdr:row>19</xdr:row>
      <xdr:rowOff>114300</xdr:rowOff>
    </xdr:to>
    <xdr:graphicFrame macro="">
      <xdr:nvGraphicFramePr>
        <xdr:cNvPr id="14" name="Chart 13">
          <a:extLst>
            <a:ext uri="{FF2B5EF4-FFF2-40B4-BE49-F238E27FC236}">
              <a16:creationId xmlns:a16="http://schemas.microsoft.com/office/drawing/2014/main" id="{A7F4B13C-0667-4ACC-AAF5-7544DD78A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158750</xdr:colOff>
      <xdr:row>20</xdr:row>
      <xdr:rowOff>19050</xdr:rowOff>
    </xdr:from>
    <xdr:to>
      <xdr:col>11</xdr:col>
      <xdr:colOff>444500</xdr:colOff>
      <xdr:row>29</xdr:row>
      <xdr:rowOff>95250</xdr:rowOff>
    </xdr:to>
    <xdr:graphicFrame macro="">
      <xdr:nvGraphicFramePr>
        <xdr:cNvPr id="16" name="Chart 15">
          <a:extLst>
            <a:ext uri="{FF2B5EF4-FFF2-40B4-BE49-F238E27FC236}">
              <a16:creationId xmlns:a16="http://schemas.microsoft.com/office/drawing/2014/main" id="{97234603-7D73-4784-A1D0-FDCF5A462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558800</xdr:colOff>
      <xdr:row>20</xdr:row>
      <xdr:rowOff>12700</xdr:rowOff>
    </xdr:from>
    <xdr:to>
      <xdr:col>19</xdr:col>
      <xdr:colOff>241300</xdr:colOff>
      <xdr:row>29</xdr:row>
      <xdr:rowOff>101600</xdr:rowOff>
    </xdr:to>
    <xdr:graphicFrame macro="">
      <xdr:nvGraphicFramePr>
        <xdr:cNvPr id="17" name="Chart 16">
          <a:extLst>
            <a:ext uri="{FF2B5EF4-FFF2-40B4-BE49-F238E27FC236}">
              <a16:creationId xmlns:a16="http://schemas.microsoft.com/office/drawing/2014/main" id="{9BC3E038-E015-470E-B5D4-539B9F8BB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254000</xdr:colOff>
      <xdr:row>3</xdr:row>
      <xdr:rowOff>152400</xdr:rowOff>
    </xdr:to>
    <xdr:sp macro="" textlink="">
      <xdr:nvSpPr>
        <xdr:cNvPr id="2" name="Rectangle: Rounded Corners 1">
          <a:extLst>
            <a:ext uri="{FF2B5EF4-FFF2-40B4-BE49-F238E27FC236}">
              <a16:creationId xmlns:a16="http://schemas.microsoft.com/office/drawing/2014/main" id="{5966D3DD-D280-4B45-B21D-F6DF57C91E45}"/>
            </a:ext>
          </a:extLst>
        </xdr:cNvPr>
        <xdr:cNvSpPr/>
      </xdr:nvSpPr>
      <xdr:spPr>
        <a:xfrm>
          <a:off x="0" y="0"/>
          <a:ext cx="5130800" cy="70485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tx1"/>
              </a:solidFill>
              <a:latin typeface="Arial Black" panose="020B0A04020102020204" pitchFamily="34" charset="0"/>
            </a:rPr>
            <a:t>Summary</a:t>
          </a:r>
        </a:p>
      </xdr:txBody>
    </xdr:sp>
    <xdr:clientData/>
  </xdr:twoCellAnchor>
  <xdr:twoCellAnchor>
    <xdr:from>
      <xdr:col>0</xdr:col>
      <xdr:colOff>25400</xdr:colOff>
      <xdr:row>4</xdr:row>
      <xdr:rowOff>0</xdr:rowOff>
    </xdr:from>
    <xdr:to>
      <xdr:col>13</xdr:col>
      <xdr:colOff>69850</xdr:colOff>
      <xdr:row>21</xdr:row>
      <xdr:rowOff>25400</xdr:rowOff>
    </xdr:to>
    <xdr:sp macro="" textlink="">
      <xdr:nvSpPr>
        <xdr:cNvPr id="3" name="Rectangle 2">
          <a:extLst>
            <a:ext uri="{FF2B5EF4-FFF2-40B4-BE49-F238E27FC236}">
              <a16:creationId xmlns:a16="http://schemas.microsoft.com/office/drawing/2014/main" id="{46B89F9F-5D90-4C92-817C-F8DD2A3AE293}"/>
            </a:ext>
          </a:extLst>
        </xdr:cNvPr>
        <xdr:cNvSpPr/>
      </xdr:nvSpPr>
      <xdr:spPr>
        <a:xfrm>
          <a:off x="25400" y="736600"/>
          <a:ext cx="7969250" cy="315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accent4"/>
              </a:solidFill>
              <a:latin typeface="Arial Rounded MT Bold" panose="020F0704030504030204" pitchFamily="34" charset="0"/>
            </a:rPr>
            <a:t>Higher screen time is associated with lower physical activity and slightly poorer health outcomes.</a:t>
          </a:r>
        </a:p>
        <a:p>
          <a:pPr algn="l"/>
          <a:endParaRPr lang="en-IN" sz="1600">
            <a:solidFill>
              <a:schemeClr val="accent4"/>
            </a:solidFill>
            <a:latin typeface="Arial Rounded MT Bold" panose="020F0704030504030204" pitchFamily="34" charset="0"/>
          </a:endParaRPr>
        </a:p>
        <a:p>
          <a:pPr algn="l"/>
          <a:r>
            <a:rPr lang="en-IN" sz="1600">
              <a:solidFill>
                <a:schemeClr val="accent4"/>
              </a:solidFill>
              <a:latin typeface="Arial Rounded MT Bold" panose="020F0704030504030204" pitchFamily="34" charset="0"/>
            </a:rPr>
            <a:t>Increased sugar drink consumption shows a positive correlation with higher BMI.</a:t>
          </a:r>
        </a:p>
        <a:p>
          <a:pPr algn="l"/>
          <a:endParaRPr lang="en-IN" sz="1600">
            <a:solidFill>
              <a:schemeClr val="accent4"/>
            </a:solidFill>
            <a:latin typeface="Arial Rounded MT Bold" panose="020F0704030504030204" pitchFamily="34" charset="0"/>
          </a:endParaRPr>
        </a:p>
        <a:p>
          <a:pPr algn="l"/>
          <a:r>
            <a:rPr lang="en-IN" sz="1600">
              <a:solidFill>
                <a:schemeClr val="accent4"/>
              </a:solidFill>
              <a:latin typeface="Arial Rounded MT Bold" panose="020F0704030504030204" pitchFamily="34" charset="0"/>
            </a:rPr>
            <a:t>Children consuming more fruits and vegetables tend to have better-balanced BMI levels.</a:t>
          </a:r>
        </a:p>
        <a:p>
          <a:pPr algn="l"/>
          <a:endParaRPr lang="en-IN" sz="1600">
            <a:solidFill>
              <a:schemeClr val="accent4"/>
            </a:solidFill>
            <a:latin typeface="Arial Rounded MT Bold" panose="020F0704030504030204" pitchFamily="34" charset="0"/>
          </a:endParaRPr>
        </a:p>
        <a:p>
          <a:pPr algn="l"/>
          <a:r>
            <a:rPr lang="en-IN" sz="1600">
              <a:solidFill>
                <a:schemeClr val="accent4"/>
              </a:solidFill>
              <a:latin typeface="Arial Rounded MT Bold" panose="020F0704030504030204" pitchFamily="34" charset="0"/>
            </a:rPr>
            <a:t>Regional differences indicate varying dietary habits, especially in sugar intake</a:t>
          </a:r>
          <a:r>
            <a:rPr lang="en-IN" sz="11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9.515751388892" createdVersion="6" refreshedVersion="6" minRefreshableVersion="3" recordCount="100" xr:uid="{C0EA6BFE-24FD-42E2-8661-99818BC67796}">
  <cacheSource type="worksheet">
    <worksheetSource name="Table4"/>
  </cacheSource>
  <cacheFields count="12">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BMI" numFmtId="0">
      <sharedItems containsSemiMixedTypes="0" containsString="0" containsNumber="1" minValue="22.976143918654675" maxValue="45.141946968987156" count="100">
        <n v="33.215209271142612"/>
        <n v="32.721033508276143"/>
        <n v="36.436394271272121"/>
        <n v="39.76154992548436"/>
        <n v="27.004219409282697"/>
        <n v="39.588310972247754"/>
        <n v="38.973521944142178"/>
        <n v="38.090599123234291"/>
        <n v="35.836886410845089"/>
        <n v="32.085083564214855"/>
        <n v="28.051948051948052"/>
        <n v="34.471985003124352"/>
        <n v="31.940022594228203"/>
        <n v="37.088292277885415"/>
        <n v="32.685245193346297"/>
        <n v="33.998996487706975"/>
        <n v="39.409564250328579"/>
        <n v="30.470856668740922"/>
        <n v="37.726523887973642"/>
        <n v="31.541437589085728"/>
        <n v="33.181548208275593"/>
        <n v="39.249820531227563"/>
        <n v="37.49638902262879"/>
        <n v="26.862764195967664"/>
        <n v="35.714947641553145"/>
        <n v="32.523016447708699"/>
        <n v="38.359136179863917"/>
        <n v="22.976143918654675"/>
        <n v="32.85741481058443"/>
        <n v="40.186010463088543"/>
        <n v="38.37981407702523"/>
        <n v="26.498098468496245"/>
        <n v="36.678591602334777"/>
        <n v="35.086801011951501"/>
        <n v="30.574342458400427"/>
        <n v="38.296209456819071"/>
        <n v="26.846402126447693"/>
        <n v="36.629960523581964"/>
        <n v="30.807197943444731"/>
        <n v="38.806245957682712"/>
        <n v="31.175257731958762"/>
        <n v="42.323109909573972"/>
        <n v="37.986839765249862"/>
        <n v="33.701122725512974"/>
        <n v="32.317584568073805"/>
        <n v="35.169491525423723"/>
        <n v="33.340489480463717"/>
        <n v="36.290250246658893"/>
        <n v="29.804065863306043"/>
        <n v="27.589754140520522"/>
        <n v="31.241113142392855"/>
        <n v="34.413518886679917"/>
        <n v="37.787445618396518"/>
        <n v="39.772110689093871"/>
        <n v="31.466759849742292"/>
        <n v="34.981304528458665"/>
        <n v="35.127911416571202"/>
        <n v="37.740863787375417"/>
        <n v="44.35214446952596"/>
        <n v="41.185185185185176"/>
        <n v="36.418939470749265"/>
        <n v="42.734382543207495"/>
        <n v="33.865401207937872"/>
        <n v="36.098852603706973"/>
        <n v="37.829072872949254"/>
        <n v="41.354246365723029"/>
        <n v="33.456637895602142"/>
        <n v="29.194825255840893"/>
        <n v="43.391238670694868"/>
        <n v="26.51775486827033"/>
        <n v="36.130105340972094"/>
        <n v="36.933155901320504"/>
        <n v="43.375559577102578"/>
        <n v="34.858877769031821"/>
        <n v="38.255924170616119"/>
        <n v="31.457573667093726"/>
        <n v="32.993066255778118"/>
        <n v="35.106998264893008"/>
        <n v="43.288590604026851"/>
        <n v="38.878266411727218"/>
        <n v="32.253496194016634"/>
        <n v="37.494040240297515"/>
        <n v="28.54875508382105"/>
        <n v="27.955713720838276"/>
        <n v="36.044795555169728"/>
        <n v="36.398121387283233"/>
        <n v="45.141946968987156"/>
        <n v="29.883674288006418"/>
        <n v="30.627268014515291"/>
        <n v="38.951521984216463"/>
        <n v="32.157103405952746"/>
        <n v="44.514935236584726"/>
        <n v="33.210251954821892"/>
        <n v="31.819124662933"/>
        <n v="35.61517113783534"/>
        <n v="40.476408612001826"/>
        <n v="35.428465323553986"/>
        <n v="38.341784538742111"/>
        <n v="33.617871413003996"/>
        <n v="39.793621013133219"/>
      </sharedItems>
    </cacheField>
    <cacheField name="Health_status" numFmtId="0">
      <sharedItems count="3">
        <s v="obese"/>
        <s v="Overweight"/>
        <s v="Healthy Weight"/>
      </sharedItems>
    </cacheField>
  </cacheFields>
  <extLst>
    <ext xmlns:x14="http://schemas.microsoft.com/office/spreadsheetml/2009/9/main" uri="{725AE2AE-9491-48be-B2B4-4EB974FC3084}">
      <x14:pivotCacheDefinition pivotCacheId="1912176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04.41"/>
    <n v="17.34"/>
    <x v="0"/>
    <x v="0"/>
    <n v="3"/>
    <x v="0"/>
    <x v="0"/>
    <x v="0"/>
    <x v="0"/>
  </r>
  <r>
    <x v="1"/>
    <x v="1"/>
    <x v="0"/>
    <n v="99.08"/>
    <n v="16.21"/>
    <x v="1"/>
    <x v="1"/>
    <n v="1"/>
    <x v="1"/>
    <x v="1"/>
    <x v="1"/>
    <x v="0"/>
  </r>
  <r>
    <x v="2"/>
    <x v="2"/>
    <x v="0"/>
    <n v="94.96"/>
    <n v="17.3"/>
    <x v="2"/>
    <x v="2"/>
    <n v="2"/>
    <x v="2"/>
    <x v="1"/>
    <x v="2"/>
    <x v="0"/>
  </r>
  <r>
    <x v="3"/>
    <x v="3"/>
    <x v="0"/>
    <n v="100.65"/>
    <n v="20.010000000000002"/>
    <x v="3"/>
    <x v="3"/>
    <n v="1"/>
    <x v="3"/>
    <x v="1"/>
    <x v="3"/>
    <x v="0"/>
  </r>
  <r>
    <x v="4"/>
    <x v="4"/>
    <x v="0"/>
    <n v="90.06"/>
    <n v="12.16"/>
    <x v="1"/>
    <x v="1"/>
    <n v="0"/>
    <x v="4"/>
    <x v="0"/>
    <x v="4"/>
    <x v="1"/>
  </r>
  <r>
    <x v="5"/>
    <x v="5"/>
    <x v="1"/>
    <n v="108.82"/>
    <n v="21.54"/>
    <x v="1"/>
    <x v="1"/>
    <n v="1"/>
    <x v="4"/>
    <x v="2"/>
    <x v="5"/>
    <x v="0"/>
  </r>
  <r>
    <x v="6"/>
    <x v="6"/>
    <x v="1"/>
    <n v="110.28"/>
    <n v="21.49"/>
    <x v="4"/>
    <x v="3"/>
    <n v="2"/>
    <x v="5"/>
    <x v="0"/>
    <x v="6"/>
    <x v="0"/>
  </r>
  <r>
    <x v="7"/>
    <x v="6"/>
    <x v="0"/>
    <n v="102.65"/>
    <n v="19.55"/>
    <x v="3"/>
    <x v="0"/>
    <n v="1"/>
    <x v="6"/>
    <x v="1"/>
    <x v="7"/>
    <x v="0"/>
  </r>
  <r>
    <x v="8"/>
    <x v="7"/>
    <x v="1"/>
    <n v="91.47"/>
    <n v="16.39"/>
    <x v="2"/>
    <x v="0"/>
    <n v="3"/>
    <x v="7"/>
    <x v="3"/>
    <x v="8"/>
    <x v="0"/>
  </r>
  <r>
    <x v="9"/>
    <x v="8"/>
    <x v="0"/>
    <n v="111.89"/>
    <n v="17.95"/>
    <x v="0"/>
    <x v="2"/>
    <n v="0"/>
    <x v="7"/>
    <x v="1"/>
    <x v="9"/>
    <x v="0"/>
  </r>
  <r>
    <x v="10"/>
    <x v="9"/>
    <x v="1"/>
    <n v="96.25"/>
    <n v="13.5"/>
    <x v="2"/>
    <x v="4"/>
    <n v="0"/>
    <x v="2"/>
    <x v="4"/>
    <x v="10"/>
    <x v="1"/>
  </r>
  <r>
    <x v="11"/>
    <x v="10"/>
    <x v="0"/>
    <n v="96.02"/>
    <n v="16.55"/>
    <x v="3"/>
    <x v="3"/>
    <n v="2"/>
    <x v="8"/>
    <x v="3"/>
    <x v="11"/>
    <x v="0"/>
  </r>
  <r>
    <x v="12"/>
    <x v="1"/>
    <x v="1"/>
    <n v="97.37"/>
    <n v="15.55"/>
    <x v="1"/>
    <x v="1"/>
    <n v="2"/>
    <x v="6"/>
    <x v="2"/>
    <x v="12"/>
    <x v="0"/>
  </r>
  <r>
    <x v="13"/>
    <x v="11"/>
    <x v="1"/>
    <n v="108.39"/>
    <n v="20.100000000000001"/>
    <x v="1"/>
    <x v="0"/>
    <n v="3"/>
    <x v="2"/>
    <x v="2"/>
    <x v="13"/>
    <x v="0"/>
  </r>
  <r>
    <x v="14"/>
    <x v="9"/>
    <x v="1"/>
    <n v="92.58"/>
    <n v="15.13"/>
    <x v="3"/>
    <x v="0"/>
    <n v="2"/>
    <x v="9"/>
    <x v="1"/>
    <x v="14"/>
    <x v="0"/>
  </r>
  <r>
    <x v="15"/>
    <x v="12"/>
    <x v="1"/>
    <n v="99.65"/>
    <n v="16.940000000000001"/>
    <x v="0"/>
    <x v="2"/>
    <n v="3"/>
    <x v="10"/>
    <x v="1"/>
    <x v="15"/>
    <x v="0"/>
  </r>
  <r>
    <x v="16"/>
    <x v="12"/>
    <x v="0"/>
    <n v="98.91"/>
    <n v="19.489999999999998"/>
    <x v="1"/>
    <x v="3"/>
    <n v="3"/>
    <x v="11"/>
    <x v="1"/>
    <x v="16"/>
    <x v="0"/>
  </r>
  <r>
    <x v="17"/>
    <x v="9"/>
    <x v="0"/>
    <n v="96.42"/>
    <n v="14.69"/>
    <x v="0"/>
    <x v="2"/>
    <n v="2"/>
    <x v="0"/>
    <x v="3"/>
    <x v="17"/>
    <x v="0"/>
  </r>
  <r>
    <x v="18"/>
    <x v="13"/>
    <x v="0"/>
    <n v="109.26"/>
    <n v="20.61"/>
    <x v="2"/>
    <x v="0"/>
    <n v="1"/>
    <x v="12"/>
    <x v="2"/>
    <x v="18"/>
    <x v="0"/>
  </r>
  <r>
    <x v="19"/>
    <x v="1"/>
    <x v="1"/>
    <n v="98.22"/>
    <n v="15.49"/>
    <x v="0"/>
    <x v="0"/>
    <n v="0"/>
    <x v="7"/>
    <x v="1"/>
    <x v="19"/>
    <x v="0"/>
  </r>
  <r>
    <x v="20"/>
    <x v="2"/>
    <x v="0"/>
    <n v="101.02"/>
    <n v="16.760000000000002"/>
    <x v="2"/>
    <x v="0"/>
    <n v="2"/>
    <x v="13"/>
    <x v="0"/>
    <x v="20"/>
    <x v="0"/>
  </r>
  <r>
    <x v="21"/>
    <x v="14"/>
    <x v="1"/>
    <n v="111.44"/>
    <n v="21.87"/>
    <x v="4"/>
    <x v="1"/>
    <n v="2"/>
    <x v="13"/>
    <x v="2"/>
    <x v="21"/>
    <x v="0"/>
  </r>
  <r>
    <x v="22"/>
    <x v="15"/>
    <x v="1"/>
    <n v="103.85"/>
    <n v="19.47"/>
    <x v="3"/>
    <x v="4"/>
    <n v="3"/>
    <x v="14"/>
    <x v="2"/>
    <x v="22"/>
    <x v="0"/>
  </r>
  <r>
    <x v="23"/>
    <x v="2"/>
    <x v="0"/>
    <n v="102.67"/>
    <n v="13.79"/>
    <x v="4"/>
    <x v="1"/>
    <n v="1"/>
    <x v="12"/>
    <x v="1"/>
    <x v="23"/>
    <x v="1"/>
  </r>
  <r>
    <x v="24"/>
    <x v="6"/>
    <x v="1"/>
    <n v="107.91"/>
    <n v="19.27"/>
    <x v="4"/>
    <x v="3"/>
    <n v="0"/>
    <x v="7"/>
    <x v="2"/>
    <x v="24"/>
    <x v="0"/>
  </r>
  <r>
    <x v="25"/>
    <x v="16"/>
    <x v="0"/>
    <n v="96.67"/>
    <n v="15.72"/>
    <x v="2"/>
    <x v="1"/>
    <n v="2"/>
    <x v="0"/>
    <x v="3"/>
    <x v="25"/>
    <x v="0"/>
  </r>
  <r>
    <x v="26"/>
    <x v="2"/>
    <x v="1"/>
    <n v="101.41"/>
    <n v="19.45"/>
    <x v="1"/>
    <x v="4"/>
    <n v="2"/>
    <x v="13"/>
    <x v="0"/>
    <x v="26"/>
    <x v="0"/>
  </r>
  <r>
    <x v="27"/>
    <x v="10"/>
    <x v="0"/>
    <n v="102.28"/>
    <n v="11.75"/>
    <x v="3"/>
    <x v="1"/>
    <n v="1"/>
    <x v="6"/>
    <x v="2"/>
    <x v="27"/>
    <x v="2"/>
  </r>
  <r>
    <x v="28"/>
    <x v="15"/>
    <x v="1"/>
    <n v="105.06"/>
    <n v="17.260000000000002"/>
    <x v="4"/>
    <x v="1"/>
    <n v="2"/>
    <x v="7"/>
    <x v="1"/>
    <x v="28"/>
    <x v="0"/>
  </r>
  <r>
    <x v="29"/>
    <x v="17"/>
    <x v="1"/>
    <n v="103.22"/>
    <n v="20.74"/>
    <x v="3"/>
    <x v="0"/>
    <n v="3"/>
    <x v="10"/>
    <x v="0"/>
    <x v="29"/>
    <x v="0"/>
  </r>
  <r>
    <x v="30"/>
    <x v="15"/>
    <x v="0"/>
    <n v="105.42"/>
    <n v="20.23"/>
    <x v="4"/>
    <x v="3"/>
    <n v="2"/>
    <x v="15"/>
    <x v="4"/>
    <x v="30"/>
    <x v="0"/>
  </r>
  <r>
    <x v="31"/>
    <x v="10"/>
    <x v="1"/>
    <n v="97.29"/>
    <n v="12.89"/>
    <x v="4"/>
    <x v="0"/>
    <n v="2"/>
    <x v="6"/>
    <x v="1"/>
    <x v="31"/>
    <x v="1"/>
  </r>
  <r>
    <x v="32"/>
    <x v="15"/>
    <x v="1"/>
    <n v="106.22"/>
    <n v="19.48"/>
    <x v="4"/>
    <x v="2"/>
    <n v="0"/>
    <x v="16"/>
    <x v="0"/>
    <x v="32"/>
    <x v="0"/>
  </r>
  <r>
    <x v="33"/>
    <x v="14"/>
    <x v="0"/>
    <n v="114.63"/>
    <n v="20.11"/>
    <x v="3"/>
    <x v="1"/>
    <n v="0"/>
    <x v="7"/>
    <x v="4"/>
    <x v="33"/>
    <x v="0"/>
  </r>
  <r>
    <x v="34"/>
    <x v="16"/>
    <x v="0"/>
    <n v="93.15"/>
    <n v="14.24"/>
    <x v="0"/>
    <x v="1"/>
    <n v="2"/>
    <x v="6"/>
    <x v="1"/>
    <x v="34"/>
    <x v="0"/>
  </r>
  <r>
    <x v="35"/>
    <x v="8"/>
    <x v="0"/>
    <n v="102.36"/>
    <n v="19.600000000000001"/>
    <x v="0"/>
    <x v="0"/>
    <n v="0"/>
    <x v="4"/>
    <x v="4"/>
    <x v="35"/>
    <x v="0"/>
  </r>
  <r>
    <x v="36"/>
    <x v="17"/>
    <x v="0"/>
    <n v="105.34"/>
    <n v="14.14"/>
    <x v="4"/>
    <x v="2"/>
    <n v="0"/>
    <x v="7"/>
    <x v="2"/>
    <x v="36"/>
    <x v="1"/>
  </r>
  <r>
    <x v="37"/>
    <x v="18"/>
    <x v="0"/>
    <n v="96.26"/>
    <n v="17.63"/>
    <x v="2"/>
    <x v="2"/>
    <n v="2"/>
    <x v="17"/>
    <x v="2"/>
    <x v="37"/>
    <x v="0"/>
  </r>
  <r>
    <x v="38"/>
    <x v="7"/>
    <x v="1"/>
    <n v="97.25"/>
    <n v="14.98"/>
    <x v="2"/>
    <x v="4"/>
    <n v="3"/>
    <x v="18"/>
    <x v="1"/>
    <x v="38"/>
    <x v="0"/>
  </r>
  <r>
    <x v="39"/>
    <x v="19"/>
    <x v="1"/>
    <n v="108.23"/>
    <n v="21"/>
    <x v="2"/>
    <x v="4"/>
    <n v="0"/>
    <x v="2"/>
    <x v="1"/>
    <x v="39"/>
    <x v="0"/>
  </r>
  <r>
    <x v="40"/>
    <x v="20"/>
    <x v="1"/>
    <n v="97"/>
    <n v="15.12"/>
    <x v="4"/>
    <x v="3"/>
    <n v="1"/>
    <x v="17"/>
    <x v="3"/>
    <x v="40"/>
    <x v="0"/>
  </r>
  <r>
    <x v="41"/>
    <x v="21"/>
    <x v="1"/>
    <n v="107.27"/>
    <n v="22.7"/>
    <x v="4"/>
    <x v="3"/>
    <n v="0"/>
    <x v="7"/>
    <x v="0"/>
    <x v="41"/>
    <x v="0"/>
  </r>
  <r>
    <x v="42"/>
    <x v="22"/>
    <x v="1"/>
    <n v="112.46"/>
    <n v="21.36"/>
    <x v="3"/>
    <x v="3"/>
    <n v="1"/>
    <x v="8"/>
    <x v="1"/>
    <x v="42"/>
    <x v="0"/>
  </r>
  <r>
    <x v="43"/>
    <x v="23"/>
    <x v="1"/>
    <n v="103.32"/>
    <n v="17.41"/>
    <x v="0"/>
    <x v="3"/>
    <n v="2"/>
    <x v="12"/>
    <x v="2"/>
    <x v="43"/>
    <x v="0"/>
  </r>
  <r>
    <x v="44"/>
    <x v="6"/>
    <x v="0"/>
    <n v="107.31"/>
    <n v="17.34"/>
    <x v="0"/>
    <x v="2"/>
    <n v="0"/>
    <x v="19"/>
    <x v="3"/>
    <x v="44"/>
    <x v="0"/>
  </r>
  <r>
    <x v="45"/>
    <x v="1"/>
    <x v="1"/>
    <n v="99.12"/>
    <n v="17.43"/>
    <x v="2"/>
    <x v="4"/>
    <n v="3"/>
    <x v="9"/>
    <x v="0"/>
    <x v="45"/>
    <x v="0"/>
  </r>
  <r>
    <x v="46"/>
    <x v="20"/>
    <x v="1"/>
    <n v="93.16"/>
    <n v="15.53"/>
    <x v="3"/>
    <x v="0"/>
    <n v="0"/>
    <x v="7"/>
    <x v="1"/>
    <x v="46"/>
    <x v="0"/>
  </r>
  <r>
    <x v="47"/>
    <x v="24"/>
    <x v="1"/>
    <n v="111.49"/>
    <n v="20.23"/>
    <x v="0"/>
    <x v="3"/>
    <n v="1"/>
    <x v="9"/>
    <x v="3"/>
    <x v="47"/>
    <x v="0"/>
  </r>
  <r>
    <x v="48"/>
    <x v="25"/>
    <x v="0"/>
    <n v="108.71"/>
    <n v="16.2"/>
    <x v="3"/>
    <x v="1"/>
    <n v="3"/>
    <x v="20"/>
    <x v="3"/>
    <x v="48"/>
    <x v="1"/>
  </r>
  <r>
    <x v="49"/>
    <x v="26"/>
    <x v="0"/>
    <n v="97.21"/>
    <n v="13.41"/>
    <x v="4"/>
    <x v="2"/>
    <n v="1"/>
    <x v="4"/>
    <x v="1"/>
    <x v="49"/>
    <x v="1"/>
  </r>
  <r>
    <x v="50"/>
    <x v="1"/>
    <x v="0"/>
    <n v="98.46"/>
    <n v="15.38"/>
    <x v="2"/>
    <x v="0"/>
    <n v="2"/>
    <x v="0"/>
    <x v="0"/>
    <x v="50"/>
    <x v="0"/>
  </r>
  <r>
    <x v="51"/>
    <x v="23"/>
    <x v="0"/>
    <n v="100.6"/>
    <n v="17.309999999999999"/>
    <x v="1"/>
    <x v="2"/>
    <n v="0"/>
    <x v="2"/>
    <x v="4"/>
    <x v="51"/>
    <x v="0"/>
  </r>
  <r>
    <x v="52"/>
    <x v="3"/>
    <x v="0"/>
    <n v="96.54"/>
    <n v="18.239999999999998"/>
    <x v="4"/>
    <x v="2"/>
    <n v="1"/>
    <x v="13"/>
    <x v="4"/>
    <x v="52"/>
    <x v="0"/>
  </r>
  <r>
    <x v="53"/>
    <x v="13"/>
    <x v="1"/>
    <n v="110.58"/>
    <n v="21.99"/>
    <x v="2"/>
    <x v="3"/>
    <n v="0"/>
    <x v="4"/>
    <x v="0"/>
    <x v="53"/>
    <x v="0"/>
  </r>
  <r>
    <x v="54"/>
    <x v="27"/>
    <x v="0"/>
    <n v="114.47"/>
    <n v="18.010000000000002"/>
    <x v="0"/>
    <x v="2"/>
    <n v="0"/>
    <x v="2"/>
    <x v="3"/>
    <x v="54"/>
    <x v="0"/>
  </r>
  <r>
    <x v="55"/>
    <x v="18"/>
    <x v="0"/>
    <n v="96.28"/>
    <n v="16.84"/>
    <x v="4"/>
    <x v="0"/>
    <n v="3"/>
    <x v="19"/>
    <x v="2"/>
    <x v="55"/>
    <x v="0"/>
  </r>
  <r>
    <x v="56"/>
    <x v="8"/>
    <x v="0"/>
    <n v="104.76"/>
    <n v="18.399999999999999"/>
    <x v="4"/>
    <x v="0"/>
    <n v="1"/>
    <x v="16"/>
    <x v="0"/>
    <x v="56"/>
    <x v="0"/>
  </r>
  <r>
    <x v="57"/>
    <x v="25"/>
    <x v="1"/>
    <n v="105.35"/>
    <n v="19.88"/>
    <x v="0"/>
    <x v="0"/>
    <n v="2"/>
    <x v="5"/>
    <x v="2"/>
    <x v="57"/>
    <x v="0"/>
  </r>
  <r>
    <x v="58"/>
    <x v="28"/>
    <x v="1"/>
    <n v="110.75"/>
    <n v="24.56"/>
    <x v="4"/>
    <x v="4"/>
    <n v="1"/>
    <x v="17"/>
    <x v="0"/>
    <x v="58"/>
    <x v="0"/>
  </r>
  <r>
    <x v="59"/>
    <x v="14"/>
    <x v="1"/>
    <n v="108"/>
    <n v="22.24"/>
    <x v="3"/>
    <x v="4"/>
    <n v="2"/>
    <x v="20"/>
    <x v="1"/>
    <x v="59"/>
    <x v="0"/>
  </r>
  <r>
    <x v="60"/>
    <x v="10"/>
    <x v="0"/>
    <n v="98.63"/>
    <n v="17.96"/>
    <x v="1"/>
    <x v="3"/>
    <n v="2"/>
    <x v="21"/>
    <x v="3"/>
    <x v="60"/>
    <x v="0"/>
  </r>
  <r>
    <x v="61"/>
    <x v="0"/>
    <x v="0"/>
    <n v="103.57"/>
    <n v="22.13"/>
    <x v="2"/>
    <x v="0"/>
    <n v="0"/>
    <x v="2"/>
    <x v="0"/>
    <x v="61"/>
    <x v="0"/>
  </r>
  <r>
    <x v="62"/>
    <x v="7"/>
    <x v="1"/>
    <n v="92.72"/>
    <n v="15.7"/>
    <x v="4"/>
    <x v="3"/>
    <n v="1"/>
    <x v="19"/>
    <x v="3"/>
    <x v="62"/>
    <x v="0"/>
  </r>
  <r>
    <x v="63"/>
    <x v="14"/>
    <x v="1"/>
    <n v="113.3"/>
    <n v="20.45"/>
    <x v="3"/>
    <x v="0"/>
    <n v="2"/>
    <x v="19"/>
    <x v="4"/>
    <x v="63"/>
    <x v="0"/>
  </r>
  <r>
    <x v="64"/>
    <x v="12"/>
    <x v="1"/>
    <n v="104.84"/>
    <n v="19.829999999999998"/>
    <x v="4"/>
    <x v="3"/>
    <n v="0"/>
    <x v="7"/>
    <x v="3"/>
    <x v="64"/>
    <x v="0"/>
  </r>
  <r>
    <x v="65"/>
    <x v="27"/>
    <x v="0"/>
    <n v="104.56"/>
    <n v="21.62"/>
    <x v="4"/>
    <x v="1"/>
    <n v="1"/>
    <x v="12"/>
    <x v="0"/>
    <x v="65"/>
    <x v="0"/>
  </r>
  <r>
    <x v="66"/>
    <x v="20"/>
    <x v="1"/>
    <n v="97.32"/>
    <n v="16.28"/>
    <x v="3"/>
    <x v="4"/>
    <n v="0"/>
    <x v="7"/>
    <x v="0"/>
    <x v="66"/>
    <x v="0"/>
  </r>
  <r>
    <x v="67"/>
    <x v="10"/>
    <x v="0"/>
    <n v="103.58"/>
    <n v="15.12"/>
    <x v="4"/>
    <x v="3"/>
    <n v="2"/>
    <x v="22"/>
    <x v="2"/>
    <x v="67"/>
    <x v="1"/>
  </r>
  <r>
    <x v="68"/>
    <x v="29"/>
    <x v="1"/>
    <n v="105.92"/>
    <n v="22.98"/>
    <x v="3"/>
    <x v="3"/>
    <n v="0"/>
    <x v="7"/>
    <x v="4"/>
    <x v="68"/>
    <x v="0"/>
  </r>
  <r>
    <x v="69"/>
    <x v="30"/>
    <x v="1"/>
    <n v="104.76"/>
    <n v="13.89"/>
    <x v="2"/>
    <x v="4"/>
    <n v="0"/>
    <x v="19"/>
    <x v="2"/>
    <x v="69"/>
    <x v="1"/>
  </r>
  <r>
    <x v="70"/>
    <x v="11"/>
    <x v="1"/>
    <n v="108.22"/>
    <n v="19.55"/>
    <x v="0"/>
    <x v="1"/>
    <n v="2"/>
    <x v="9"/>
    <x v="2"/>
    <x v="70"/>
    <x v="0"/>
  </r>
  <r>
    <x v="71"/>
    <x v="10"/>
    <x v="0"/>
    <n v="97.69"/>
    <n v="18.04"/>
    <x v="2"/>
    <x v="0"/>
    <n v="2"/>
    <x v="23"/>
    <x v="0"/>
    <x v="71"/>
    <x v="0"/>
  </r>
  <r>
    <x v="72"/>
    <x v="6"/>
    <x v="0"/>
    <n v="104.99"/>
    <n v="22.77"/>
    <x v="2"/>
    <x v="0"/>
    <n v="1"/>
    <x v="20"/>
    <x v="1"/>
    <x v="72"/>
    <x v="0"/>
  </r>
  <r>
    <x v="73"/>
    <x v="9"/>
    <x v="1"/>
    <n v="88.93"/>
    <n v="15.5"/>
    <x v="2"/>
    <x v="3"/>
    <n v="3"/>
    <x v="24"/>
    <x v="1"/>
    <x v="73"/>
    <x v="0"/>
  </r>
  <r>
    <x v="74"/>
    <x v="31"/>
    <x v="0"/>
    <n v="105.5"/>
    <n v="20.18"/>
    <x v="0"/>
    <x v="4"/>
    <n v="3"/>
    <x v="13"/>
    <x v="3"/>
    <x v="74"/>
    <x v="0"/>
  </r>
  <r>
    <x v="75"/>
    <x v="12"/>
    <x v="1"/>
    <n v="101.47"/>
    <n v="15.96"/>
    <x v="0"/>
    <x v="1"/>
    <n v="0"/>
    <x v="7"/>
    <x v="0"/>
    <x v="75"/>
    <x v="0"/>
  </r>
  <r>
    <x v="76"/>
    <x v="15"/>
    <x v="1"/>
    <n v="103.84"/>
    <n v="17.13"/>
    <x v="1"/>
    <x v="4"/>
    <n v="1"/>
    <x v="16"/>
    <x v="2"/>
    <x v="76"/>
    <x v="0"/>
  </r>
  <r>
    <x v="77"/>
    <x v="21"/>
    <x v="1"/>
    <n v="103.74"/>
    <n v="18.21"/>
    <x v="0"/>
    <x v="2"/>
    <n v="0"/>
    <x v="19"/>
    <x v="2"/>
    <x v="77"/>
    <x v="0"/>
  </r>
  <r>
    <x v="78"/>
    <x v="19"/>
    <x v="1"/>
    <n v="101.32"/>
    <n v="21.93"/>
    <x v="4"/>
    <x v="0"/>
    <n v="2"/>
    <x v="5"/>
    <x v="1"/>
    <x v="78"/>
    <x v="0"/>
  </r>
  <r>
    <x v="79"/>
    <x v="22"/>
    <x v="0"/>
    <n v="109.83"/>
    <n v="21.35"/>
    <x v="2"/>
    <x v="0"/>
    <n v="1"/>
    <x v="16"/>
    <x v="3"/>
    <x v="79"/>
    <x v="0"/>
  </r>
  <r>
    <x v="80"/>
    <x v="11"/>
    <x v="1"/>
    <n v="112.98"/>
    <n v="18.22"/>
    <x v="2"/>
    <x v="1"/>
    <n v="1"/>
    <x v="17"/>
    <x v="0"/>
    <x v="80"/>
    <x v="0"/>
  </r>
  <r>
    <x v="81"/>
    <x v="21"/>
    <x v="0"/>
    <n v="104.87"/>
    <n v="19.66"/>
    <x v="0"/>
    <x v="4"/>
    <n v="2"/>
    <x v="20"/>
    <x v="4"/>
    <x v="81"/>
    <x v="0"/>
  </r>
  <r>
    <x v="82"/>
    <x v="16"/>
    <x v="1"/>
    <n v="100.81"/>
    <n v="14.39"/>
    <x v="3"/>
    <x v="4"/>
    <n v="2"/>
    <x v="21"/>
    <x v="0"/>
    <x v="82"/>
    <x v="1"/>
  </r>
  <r>
    <x v="83"/>
    <x v="32"/>
    <x v="0"/>
    <n v="101.16"/>
    <n v="14.14"/>
    <x v="3"/>
    <x v="0"/>
    <n v="3"/>
    <x v="6"/>
    <x v="0"/>
    <x v="83"/>
    <x v="1"/>
  </r>
  <r>
    <x v="84"/>
    <x v="13"/>
    <x v="0"/>
    <n v="115.19"/>
    <n v="20.76"/>
    <x v="0"/>
    <x v="4"/>
    <n v="0"/>
    <x v="8"/>
    <x v="0"/>
    <x v="84"/>
    <x v="0"/>
  </r>
  <r>
    <x v="85"/>
    <x v="14"/>
    <x v="1"/>
    <n v="110.72"/>
    <n v="20.149999999999999"/>
    <x v="1"/>
    <x v="1"/>
    <n v="1"/>
    <x v="12"/>
    <x v="4"/>
    <x v="85"/>
    <x v="0"/>
  </r>
  <r>
    <x v="86"/>
    <x v="14"/>
    <x v="0"/>
    <n v="106.73"/>
    <n v="24.09"/>
    <x v="1"/>
    <x v="1"/>
    <n v="3"/>
    <x v="17"/>
    <x v="4"/>
    <x v="86"/>
    <x v="0"/>
  </r>
  <r>
    <x v="87"/>
    <x v="9"/>
    <x v="0"/>
    <n v="99.72"/>
    <n v="14.9"/>
    <x v="4"/>
    <x v="0"/>
    <n v="3"/>
    <x v="23"/>
    <x v="1"/>
    <x v="87"/>
    <x v="1"/>
  </r>
  <r>
    <x v="88"/>
    <x v="16"/>
    <x v="0"/>
    <n v="96.45"/>
    <n v="14.77"/>
    <x v="4"/>
    <x v="0"/>
    <n v="0"/>
    <x v="2"/>
    <x v="3"/>
    <x v="88"/>
    <x v="0"/>
  </r>
  <r>
    <x v="89"/>
    <x v="29"/>
    <x v="1"/>
    <n v="106.44"/>
    <n v="20.73"/>
    <x v="4"/>
    <x v="2"/>
    <n v="2"/>
    <x v="12"/>
    <x v="0"/>
    <x v="89"/>
    <x v="0"/>
  </r>
  <r>
    <x v="90"/>
    <x v="32"/>
    <x v="0"/>
    <n v="97.77"/>
    <n v="15.72"/>
    <x v="3"/>
    <x v="3"/>
    <n v="0"/>
    <x v="4"/>
    <x v="0"/>
    <x v="90"/>
    <x v="0"/>
  </r>
  <r>
    <x v="91"/>
    <x v="33"/>
    <x v="1"/>
    <n v="113.49"/>
    <n v="25.26"/>
    <x v="1"/>
    <x v="4"/>
    <n v="3"/>
    <x v="25"/>
    <x v="4"/>
    <x v="91"/>
    <x v="0"/>
  </r>
  <r>
    <x v="92"/>
    <x v="4"/>
    <x v="1"/>
    <n v="92.08"/>
    <n v="15.29"/>
    <x v="4"/>
    <x v="1"/>
    <n v="2"/>
    <x v="21"/>
    <x v="2"/>
    <x v="92"/>
    <x v="0"/>
  </r>
  <r>
    <x v="93"/>
    <x v="9"/>
    <x v="0"/>
    <n v="96.42"/>
    <n v="15.34"/>
    <x v="4"/>
    <x v="2"/>
    <n v="2"/>
    <x v="4"/>
    <x v="2"/>
    <x v="93"/>
    <x v="0"/>
  </r>
  <r>
    <x v="94"/>
    <x v="28"/>
    <x v="0"/>
    <n v="108.1"/>
    <n v="19.25"/>
    <x v="0"/>
    <x v="3"/>
    <n v="1"/>
    <x v="8"/>
    <x v="0"/>
    <x v="94"/>
    <x v="0"/>
  </r>
  <r>
    <x v="95"/>
    <x v="27"/>
    <x v="0"/>
    <n v="109.15"/>
    <n v="22.09"/>
    <x v="0"/>
    <x v="4"/>
    <n v="0"/>
    <x v="2"/>
    <x v="1"/>
    <x v="95"/>
    <x v="0"/>
  </r>
  <r>
    <x v="96"/>
    <x v="19"/>
    <x v="1"/>
    <n v="107.71"/>
    <n v="19.079999999999998"/>
    <x v="1"/>
    <x v="0"/>
    <n v="2"/>
    <x v="22"/>
    <x v="2"/>
    <x v="96"/>
    <x v="0"/>
  </r>
  <r>
    <x v="97"/>
    <x v="13"/>
    <x v="1"/>
    <n v="112.41"/>
    <n v="21.55"/>
    <x v="3"/>
    <x v="4"/>
    <n v="0"/>
    <x v="4"/>
    <x v="0"/>
    <x v="97"/>
    <x v="0"/>
  </r>
  <r>
    <x v="98"/>
    <x v="21"/>
    <x v="1"/>
    <n v="110.12"/>
    <n v="18.510000000000002"/>
    <x v="1"/>
    <x v="0"/>
    <n v="0"/>
    <x v="4"/>
    <x v="3"/>
    <x v="98"/>
    <x v="0"/>
  </r>
  <r>
    <x v="99"/>
    <x v="11"/>
    <x v="1"/>
    <n v="106.6"/>
    <n v="21.21"/>
    <x v="1"/>
    <x v="3"/>
    <n v="2"/>
    <x v="26"/>
    <x v="3"/>
    <x v="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DC6699-7EE0-4239-A078-699DD7467696}"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2" firstHeaderRow="0" firstDataRow="1" firstDataCol="0"/>
  <pivotFields count="12">
    <pivotField showAll="0"/>
    <pivotField dataField="1"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Count of Age_Months" fld="1" subtotal="count" baseField="0" baseItem="0"/>
    <dataField name="Sum of BMI"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15A33F-AD88-4BA1-97AD-D12B44F4CBA1}"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Age_months" colHeaderCaption="Age_Months">
  <location ref="A3:E39" firstHeaderRow="1" firstDataRow="2" firstDataCol="1"/>
  <pivotFields count="12">
    <pivotField dataField="1" showAll="0"/>
    <pivotField axis="axisRow"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1"/>
  </colFields>
  <colItems count="4">
    <i>
      <x/>
    </i>
    <i>
      <x v="1"/>
    </i>
    <i>
      <x v="2"/>
    </i>
    <i t="grand">
      <x/>
    </i>
  </colItems>
  <dataFields count="1">
    <dataField name="Count of ChildID" fld="0" subtotal="count" baseField="0" baseItem="0"/>
  </dataFields>
  <formats count="10">
    <format dxfId="31">
      <pivotArea type="all" dataOnly="0" outline="0" fieldPosition="0"/>
    </format>
    <format dxfId="30">
      <pivotArea outline="0" collapsedLevelsAreSubtotals="1" fieldPosition="0"/>
    </format>
    <format dxfId="29">
      <pivotArea type="origin" dataOnly="0" labelOnly="1" outline="0" fieldPosition="0"/>
    </format>
    <format dxfId="28">
      <pivotArea field="11" type="button" dataOnly="0" labelOnly="1" outline="0" axis="axisCol" fieldPosition="0"/>
    </format>
    <format dxfId="27">
      <pivotArea type="topRight" dataOnly="0" labelOnly="1" outline="0"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fieldPosition="0">
        <references count="1">
          <reference field="11" count="0"/>
        </references>
      </pivotArea>
    </format>
    <format dxfId="22">
      <pivotArea dataOnly="0" labelOnly="1" grandCol="1" outline="0" fieldPosition="0"/>
    </format>
  </formats>
  <chartFormats count="9">
    <chartFormat chart="0" format="43" series="1">
      <pivotArea type="data" outline="0" fieldPosition="0">
        <references count="1">
          <reference field="11" count="1" selected="0">
            <x v="0"/>
          </reference>
        </references>
      </pivotArea>
    </chartFormat>
    <chartFormat chart="0" format="44" series="1">
      <pivotArea type="data" outline="0" fieldPosition="0">
        <references count="1">
          <reference field="11" count="1" selected="0">
            <x v="1"/>
          </reference>
        </references>
      </pivotArea>
    </chartFormat>
    <chartFormat chart="0" format="45" series="1">
      <pivotArea type="data" outline="0" fieldPosition="0">
        <references count="1">
          <reference field="11" count="1" selected="0">
            <x v="2"/>
          </reference>
        </references>
      </pivotArea>
    </chartFormat>
    <chartFormat chart="0" format="46" series="1">
      <pivotArea type="data" outline="0" fieldPosition="0">
        <references count="2">
          <reference field="4294967294" count="1" selected="0">
            <x v="0"/>
          </reference>
          <reference field="11" count="1" selected="0">
            <x v="1"/>
          </reference>
        </references>
      </pivotArea>
    </chartFormat>
    <chartFormat chart="0" format="47" series="1">
      <pivotArea type="data" outline="0" fieldPosition="0">
        <references count="2">
          <reference field="4294967294" count="1" selected="0">
            <x v="0"/>
          </reference>
          <reference field="11" count="1" selected="0">
            <x v="2"/>
          </reference>
        </references>
      </pivotArea>
    </chartFormat>
    <chartFormat chart="0" format="48" series="1">
      <pivotArea type="data" outline="0" fieldPosition="0">
        <references count="2">
          <reference field="4294967294" count="1" selected="0">
            <x v="0"/>
          </reference>
          <reference field="11" count="1" selected="0">
            <x v="0"/>
          </reference>
        </references>
      </pivotArea>
    </chartFormat>
    <chartFormat chart="2" format="52" series="1">
      <pivotArea type="data" outline="0" fieldPosition="0">
        <references count="2">
          <reference field="4294967294" count="1" selected="0">
            <x v="0"/>
          </reference>
          <reference field="11" count="1" selected="0">
            <x v="0"/>
          </reference>
        </references>
      </pivotArea>
    </chartFormat>
    <chartFormat chart="2" format="53" series="1">
      <pivotArea type="data" outline="0" fieldPosition="0">
        <references count="2">
          <reference field="4294967294" count="1" selected="0">
            <x v="0"/>
          </reference>
          <reference field="11" count="1" selected="0">
            <x v="1"/>
          </reference>
        </references>
      </pivotArea>
    </chartFormat>
    <chartFormat chart="2" format="54"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84D4FD-B503-40E0-B576-9AAC22917E35}" name="PivotTable1" cacheId="8"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ily_fruit_servings and veggie_serving">
  <location ref="A3:B33" firstHeaderRow="1" firstDataRow="1" firstDataCol="1"/>
  <pivotFields count="12">
    <pivotField showAll="0"/>
    <pivotField showAll="0"/>
    <pivotField showAll="0"/>
    <pivotField showAll="0"/>
    <pivotField showAll="0"/>
    <pivotField axis="axisRow" showAll="0">
      <items count="6">
        <item x="1"/>
        <item x="0"/>
        <item x="3"/>
        <item x="2"/>
        <item x="4"/>
        <item t="default"/>
      </items>
    </pivotField>
    <pivotField axis="axisRow" showAll="0">
      <items count="6">
        <item x="3"/>
        <item x="1"/>
        <item x="0"/>
        <item x="2"/>
        <item x="4"/>
        <item t="default"/>
      </items>
    </pivotField>
    <pivotField showAll="0"/>
    <pivotField showAll="0"/>
    <pivotField showAll="0">
      <items count="6">
        <item x="1"/>
        <item x="2"/>
        <item x="3"/>
        <item x="0"/>
        <item x="4"/>
        <item t="default"/>
      </items>
    </pivotField>
    <pivotField dataField="1" showAll="0"/>
    <pivotField showAll="0"/>
  </pivotFields>
  <rowFields count="2">
    <field x="5"/>
    <field x="6"/>
  </rowFields>
  <rowItems count="30">
    <i>
      <x/>
    </i>
    <i r="1">
      <x/>
    </i>
    <i r="1">
      <x v="1"/>
    </i>
    <i r="1">
      <x v="2"/>
    </i>
    <i r="1">
      <x v="3"/>
    </i>
    <i r="1">
      <x v="4"/>
    </i>
    <i>
      <x v="1"/>
    </i>
    <i r="1">
      <x/>
    </i>
    <i r="1">
      <x v="1"/>
    </i>
    <i r="1">
      <x v="2"/>
    </i>
    <i r="1">
      <x v="3"/>
    </i>
    <i r="1">
      <x v="4"/>
    </i>
    <i>
      <x v="2"/>
    </i>
    <i r="1">
      <x/>
    </i>
    <i r="1">
      <x v="1"/>
    </i>
    <i r="1">
      <x v="2"/>
    </i>
    <i r="1">
      <x v="4"/>
    </i>
    <i>
      <x v="3"/>
    </i>
    <i r="1">
      <x/>
    </i>
    <i r="1">
      <x v="1"/>
    </i>
    <i r="1">
      <x v="2"/>
    </i>
    <i r="1">
      <x v="3"/>
    </i>
    <i r="1">
      <x v="4"/>
    </i>
    <i>
      <x v="4"/>
    </i>
    <i r="1">
      <x/>
    </i>
    <i r="1">
      <x v="1"/>
    </i>
    <i r="1">
      <x v="2"/>
    </i>
    <i r="1">
      <x v="3"/>
    </i>
    <i r="1">
      <x v="4"/>
    </i>
    <i t="grand">
      <x/>
    </i>
  </rowItems>
  <colItems count="1">
    <i/>
  </colItems>
  <dataFields count="1">
    <dataField name="Average of BMI" fld="10" subtotal="average" baseField="0" baseItem="197364091"/>
  </dataFields>
  <formats count="12">
    <format dxfId="21">
      <pivotArea type="all" dataOnly="0" outline="0" fieldPosition="0"/>
    </format>
    <format dxfId="20">
      <pivotArea outline="0" collapsedLevelsAreSubtotals="1" fieldPosition="0"/>
    </format>
    <format dxfId="19">
      <pivotArea field="5" type="button" dataOnly="0" labelOnly="1" outline="0" axis="axisRow" fieldPosition="0"/>
    </format>
    <format dxfId="18">
      <pivotArea dataOnly="0" labelOnly="1" fieldPosition="0">
        <references count="1">
          <reference field="5" count="0"/>
        </references>
      </pivotArea>
    </format>
    <format dxfId="17">
      <pivotArea dataOnly="0" labelOnly="1" grandRow="1" outline="0" fieldPosition="0"/>
    </format>
    <format dxfId="16">
      <pivotArea dataOnly="0" labelOnly="1" fieldPosition="0">
        <references count="2">
          <reference field="5" count="1" selected="0">
            <x v="0"/>
          </reference>
          <reference field="6" count="0"/>
        </references>
      </pivotArea>
    </format>
    <format dxfId="15">
      <pivotArea dataOnly="0" labelOnly="1" fieldPosition="0">
        <references count="2">
          <reference field="5" count="1" selected="0">
            <x v="1"/>
          </reference>
          <reference field="6" count="0"/>
        </references>
      </pivotArea>
    </format>
    <format dxfId="14">
      <pivotArea dataOnly="0" labelOnly="1" fieldPosition="0">
        <references count="2">
          <reference field="5" count="1" selected="0">
            <x v="2"/>
          </reference>
          <reference field="6" count="4">
            <x v="0"/>
            <x v="1"/>
            <x v="2"/>
            <x v="4"/>
          </reference>
        </references>
      </pivotArea>
    </format>
    <format dxfId="13">
      <pivotArea dataOnly="0" labelOnly="1" fieldPosition="0">
        <references count="2">
          <reference field="5" count="1" selected="0">
            <x v="3"/>
          </reference>
          <reference field="6" count="0"/>
        </references>
      </pivotArea>
    </format>
    <format dxfId="12">
      <pivotArea dataOnly="0" labelOnly="1" fieldPosition="0">
        <references count="2">
          <reference field="5" count="1" selected="0">
            <x v="4"/>
          </reference>
          <reference field="6" count="0"/>
        </references>
      </pivotArea>
    </format>
    <format dxfId="11">
      <pivotArea dataOnly="0" labelOnly="1" outline="0" axis="axisValues" fieldPosition="0"/>
    </format>
    <format dxfId="10">
      <pivotArea dataOnly="0"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0E8260-37B9-4313-A371-9AB38413C3DD}"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28:H31" firstHeaderRow="1" firstDataRow="1" firstDataCol="1"/>
  <pivotFields count="12">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items count="4">
        <item x="2"/>
        <item x="0"/>
        <item x="1"/>
        <item t="default"/>
      </items>
    </pivotField>
  </pivotFields>
  <rowFields count="1">
    <field x="2"/>
  </rowFields>
  <rowItems count="3">
    <i>
      <x/>
    </i>
    <i>
      <x v="1"/>
    </i>
    <i t="grand">
      <x/>
    </i>
  </rowItems>
  <colItems count="1">
    <i/>
  </colItems>
  <dataFields count="1">
    <dataField name="Count of Health_status" fld="11" subtotal="count"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3CDF0-D115-44D2-9672-E0AE427BB0E5}"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E32" firstHeaderRow="1" firstDataRow="2" firstDataCol="1"/>
  <pivotFields count="12">
    <pivotField showAll="0"/>
    <pivotField showAll="0"/>
    <pivotField showAll="0"/>
    <pivotField showAll="0"/>
    <pivotField showAll="0"/>
    <pivotField showAll="0"/>
    <pivotField showAll="0"/>
    <pivotField dataField="1" showAll="0"/>
    <pivotField axis="axisRow"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pivotField showAll="0"/>
    <pivotField axis="axisCol" showAll="0">
      <items count="4">
        <item x="2"/>
        <item x="0"/>
        <item x="1"/>
        <item t="default"/>
      </items>
    </pivotField>
  </pivotFields>
  <rowFields count="1">
    <field x="8"/>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11"/>
  </colFields>
  <colItems count="4">
    <i>
      <x/>
    </i>
    <i>
      <x v="1"/>
    </i>
    <i>
      <x v="2"/>
    </i>
    <i t="grand">
      <x/>
    </i>
  </colItems>
  <dataFields count="1">
    <dataField name="Average of Daily_Sugar_Drinks" fld="7" subtotal="average" baseField="0" baseItem="197364091"/>
  </dataFields>
  <formats count="10">
    <format dxfId="9">
      <pivotArea type="all" dataOnly="0" outline="0" fieldPosition="0"/>
    </format>
    <format dxfId="8">
      <pivotArea outline="0" collapsedLevelsAreSubtotals="1" fieldPosition="0"/>
    </format>
    <format dxfId="7">
      <pivotArea dataOnly="0" labelOnly="1" fieldPosition="0">
        <references count="1">
          <reference field="8" count="0"/>
        </references>
      </pivotArea>
    </format>
    <format dxfId="6">
      <pivotArea dataOnly="0" labelOnly="1" grandRow="1" outline="0" fieldPosition="0"/>
    </format>
    <format dxfId="5">
      <pivotArea type="origin" dataOnly="0" labelOnly="1" outline="0" fieldPosition="0"/>
    </format>
    <format dxfId="4">
      <pivotArea field="11" type="button" dataOnly="0" labelOnly="1" outline="0" axis="axisCol" fieldPosition="0"/>
    </format>
    <format dxfId="3">
      <pivotArea type="topRight" dataOnly="0" labelOnly="1" outline="0" fieldPosition="0"/>
    </format>
    <format dxfId="2">
      <pivotArea field="8" type="button" dataOnly="0" labelOnly="1" outline="0" axis="axisRow" fieldPosition="0"/>
    </format>
    <format dxfId="1">
      <pivotArea dataOnly="0" labelOnly="1" fieldPosition="0">
        <references count="1">
          <reference field="11" count="0"/>
        </references>
      </pivotArea>
    </format>
    <format dxfId="0">
      <pivotArea dataOnly="0" labelOnly="1" grandCol="1" outline="0" fieldPosition="0"/>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6DDE49-45A9-436A-85D5-C36A77CB0CF5}"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ily_Fruits_served">
  <location ref="A3:G10" firstHeaderRow="1" firstDataRow="2" firstDataCol="1"/>
  <pivotFields count="12">
    <pivotField showAll="0"/>
    <pivotField showAll="0"/>
    <pivotField showAll="0"/>
    <pivotField showAll="0"/>
    <pivotField showAll="0"/>
    <pivotField axis="axisRow" showAll="0">
      <items count="6">
        <item x="1"/>
        <item x="0"/>
        <item x="3"/>
        <item x="2"/>
        <item x="4"/>
        <item t="default"/>
      </items>
    </pivotField>
    <pivotField showAll="0"/>
    <pivotField showAll="0"/>
    <pivotField showAll="0"/>
    <pivotField axis="axisCol" showAll="0">
      <items count="6">
        <item x="1"/>
        <item x="2"/>
        <item x="3"/>
        <item x="0"/>
        <item x="4"/>
        <item t="default"/>
      </items>
    </pivotField>
    <pivotField dataField="1" showAll="0">
      <items count="101">
        <item x="27"/>
        <item x="31"/>
        <item x="69"/>
        <item x="36"/>
        <item x="23"/>
        <item x="4"/>
        <item x="49"/>
        <item x="83"/>
        <item x="10"/>
        <item x="82"/>
        <item x="67"/>
        <item x="48"/>
        <item x="87"/>
        <item x="17"/>
        <item x="34"/>
        <item x="88"/>
        <item x="38"/>
        <item x="40"/>
        <item x="50"/>
        <item x="75"/>
        <item x="54"/>
        <item x="19"/>
        <item x="93"/>
        <item x="12"/>
        <item x="9"/>
        <item x="90"/>
        <item x="80"/>
        <item x="44"/>
        <item x="25"/>
        <item x="14"/>
        <item x="1"/>
        <item x="28"/>
        <item x="76"/>
        <item x="20"/>
        <item x="92"/>
        <item x="0"/>
        <item x="46"/>
        <item x="66"/>
        <item x="98"/>
        <item x="43"/>
        <item x="62"/>
        <item x="15"/>
        <item x="51"/>
        <item x="11"/>
        <item x="73"/>
        <item x="55"/>
        <item x="33"/>
        <item x="77"/>
        <item x="56"/>
        <item x="45"/>
        <item x="96"/>
        <item x="94"/>
        <item x="24"/>
        <item x="8"/>
        <item x="84"/>
        <item x="63"/>
        <item x="70"/>
        <item x="47"/>
        <item x="85"/>
        <item x="60"/>
        <item x="2"/>
        <item x="37"/>
        <item x="32"/>
        <item x="71"/>
        <item x="13"/>
        <item x="81"/>
        <item x="22"/>
        <item x="18"/>
        <item x="57"/>
        <item x="52"/>
        <item x="64"/>
        <item x="42"/>
        <item x="7"/>
        <item x="74"/>
        <item x="35"/>
        <item x="97"/>
        <item x="26"/>
        <item x="30"/>
        <item x="39"/>
        <item x="79"/>
        <item x="89"/>
        <item x="6"/>
        <item x="21"/>
        <item x="16"/>
        <item x="5"/>
        <item x="3"/>
        <item x="53"/>
        <item x="99"/>
        <item x="29"/>
        <item x="95"/>
        <item x="59"/>
        <item x="65"/>
        <item x="41"/>
        <item x="61"/>
        <item x="78"/>
        <item x="72"/>
        <item x="68"/>
        <item x="58"/>
        <item x="91"/>
        <item x="86"/>
        <item t="default"/>
      </items>
    </pivotField>
    <pivotField showAll="0"/>
  </pivotFields>
  <rowFields count="1">
    <field x="5"/>
  </rowFields>
  <rowItems count="6">
    <i>
      <x/>
    </i>
    <i>
      <x v="1"/>
    </i>
    <i>
      <x v="2"/>
    </i>
    <i>
      <x v="3"/>
    </i>
    <i>
      <x v="4"/>
    </i>
    <i t="grand">
      <x/>
    </i>
  </rowItems>
  <colFields count="1">
    <field x="9"/>
  </colFields>
  <colItems count="6">
    <i>
      <x/>
    </i>
    <i>
      <x v="1"/>
    </i>
    <i>
      <x v="2"/>
    </i>
    <i>
      <x v="3"/>
    </i>
    <i>
      <x v="4"/>
    </i>
    <i t="grand">
      <x/>
    </i>
  </colItems>
  <dataFields count="1">
    <dataField name="Average of BMI" fld="10" subtotal="average" baseField="5" baseItem="0"/>
  </dataFields>
  <conditionalFormats count="2">
    <conditionalFormat priority="4">
      <pivotAreas count="1">
        <pivotArea outline="0" fieldPosition="0">
          <references count="1">
            <reference field="9" count="1">
              <x v="2"/>
            </reference>
          </references>
        </pivotArea>
      </pivotAreas>
    </conditionalFormat>
    <conditionalFormat priority="6">
      <pivotAreas count="1">
        <pivotArea outline="0" fieldPosition="0">
          <references count="1">
            <reference field="9"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34D59B-8017-4BC8-B3E2-2D5D077E20FF}" sourceName="Region">
  <pivotTables>
    <pivotTable tabId="5" name="PivotTable1"/>
  </pivotTables>
  <data>
    <tabular pivotCacheId="1912176275">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E937A90-9A3A-4BD1-84F3-9C509A23B057}" sourceName="Gender">
  <extLst>
    <x:ext xmlns:x15="http://schemas.microsoft.com/office/spreadsheetml/2010/11/main" uri="{2F2917AC-EB37-4324-AD4E-5DD8C200BD13}">
      <x15:tableSlicerCache tableId="4"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B479B7C6-61B0-448F-A742-6F29DBD4F422}" sourceName="Health_status">
  <extLst>
    <x:ext xmlns:x15="http://schemas.microsoft.com/office/spreadsheetml/2010/11/main" uri="{2F2917AC-EB37-4324-AD4E-5DD8C200BD13}">
      <x15:tableSlicerCache tableId="4" column="1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1503F64-A88F-4080-A31B-BC83F124AB5C}" sourceName="Region">
  <extLst>
    <x:ext xmlns:x15="http://schemas.microsoft.com/office/spreadsheetml/2010/11/main" uri="{2F2917AC-EB37-4324-AD4E-5DD8C200BD13}">
      <x15:tableSlicerCache tableId="4"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915BEF-1B17-484B-BAED-3BDB178B333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72E40E-8E71-4905-AECF-E6D98F6F8F8C}" cache="Slicer_Gender" caption="Gender" rowHeight="241300"/>
  <slicer name="Health_status" xr10:uid="{57E1B0D6-3933-4FE0-A36A-E1612D8C48DA}" cache="Slicer_Health_status" caption="Health_status" rowHeight="241300"/>
  <slicer name="Region 1" xr10:uid="{2954F8B9-126E-4DFF-A3C3-0F2BFFC165F4}"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8C81ED-373A-4F58-BC4A-7D549413E846}" name="Table1" displayName="Table1" ref="A1:J101" totalsRowShown="0">
  <autoFilter ref="A1:J101" xr:uid="{80F8F483-A505-4651-9FC7-40FFAD8BBB6F}"/>
  <tableColumns count="10">
    <tableColumn id="1" xr3:uid="{EA1AB218-3937-46A3-9784-5ED47F8AA7FD}" name="ChildID"/>
    <tableColumn id="2" xr3:uid="{756CDBEB-91B7-432D-B0F7-31D286BE585E}" name="Age_Months"/>
    <tableColumn id="3" xr3:uid="{76BF512C-50EA-401C-9925-BEC9E1455C72}" name="Gender"/>
    <tableColumn id="4" xr3:uid="{209BEB35-5E90-4179-9749-59378C73F69F}" name="Height_cm"/>
    <tableColumn id="5" xr3:uid="{D5D45B22-3F31-43FD-8834-39D24F6BF4BE}" name="Weight_kg"/>
    <tableColumn id="6" xr3:uid="{B41AB1A6-9AE7-4EDA-85F9-3F82D7394C13}" name="Daily_Fruit_Servings"/>
    <tableColumn id="7" xr3:uid="{A35A8B8F-C60B-4EC6-9697-D278826FA2B2}" name="Daily_Veggie_Servings"/>
    <tableColumn id="8" xr3:uid="{478F6CEB-E885-479E-BC77-8C4BE57D7D4F}" name="Daily_Sugar_Drinks"/>
    <tableColumn id="9" xr3:uid="{8D52C3FC-A282-4C40-BDA5-D36B4262534E}" name="ScreenTime_Hours"/>
    <tableColumn id="10" xr3:uid="{DE54E0FC-EE6B-453B-9964-BEE66ED7C12A}" name="Regio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4F02A7-21F7-45B8-858F-8622C3B151EB}" name="Table4" displayName="Table4" ref="A1:L101" totalsRowShown="0" headerRowDxfId="48" dataDxfId="46" headerRowBorderDxfId="47" tableBorderDxfId="45" totalsRowBorderDxfId="44">
  <autoFilter ref="A1:L101" xr:uid="{41BCD31C-E808-4FAB-95AE-E04C3885173C}"/>
  <tableColumns count="12">
    <tableColumn id="1" xr3:uid="{B89EAAEB-FFD1-4091-B70F-17BEC5CCCE35}" name="ChildID" dataDxfId="43"/>
    <tableColumn id="2" xr3:uid="{85B28232-A660-4DB9-B783-E99D71AB6C6E}" name="Age_Months" dataDxfId="42"/>
    <tableColumn id="3" xr3:uid="{1F783652-E2FB-4366-AB32-B7F400874488}" name="Gender" dataDxfId="41"/>
    <tableColumn id="4" xr3:uid="{77AE50B5-DF8E-4F21-8EFC-56BE6C162F57}" name="Height_cm" dataDxfId="40"/>
    <tableColumn id="5" xr3:uid="{3EF21F22-7ADD-4233-B201-32B6887C7A29}" name="Weight_kg" dataDxfId="39"/>
    <tableColumn id="6" xr3:uid="{379FC288-E141-40BB-970C-F0EE2F644D56}" name="Daily_Fruit_Servings" dataDxfId="38"/>
    <tableColumn id="7" xr3:uid="{76591E8E-6FC2-41A9-B4BF-F09A13E775B8}" name="Daily_Veggie_Servings" dataDxfId="37"/>
    <tableColumn id="8" xr3:uid="{A42898DB-90B4-45AE-98B1-C63DC0C70B6B}" name="Daily_Sugar_Drinks" dataDxfId="36"/>
    <tableColumn id="9" xr3:uid="{0BF075A6-E734-41E6-82EA-896A7EE27792}" name="ScreenTime_Hours" dataDxfId="35"/>
    <tableColumn id="10" xr3:uid="{BB1F80BC-F8C7-409C-B270-B91A31337751}" name="Region" dataDxfId="34"/>
    <tableColumn id="11" xr3:uid="{F6847BE5-A407-4057-AA11-2EB963917564}" name="BMI" dataDxfId="33">
      <calculatedColumnFormula>E2/(D2/100)*2</calculatedColumnFormula>
    </tableColumn>
    <tableColumn id="12" xr3:uid="{059CBA9D-3D4F-40AD-AEF5-FA118045AAF0}" name="Health_status" dataDxfId="32">
      <calculatedColumnFormula>IF(Cleaned_data!$K2&lt;18.5,"underweight", IF(Cleaned_data!$K2&lt;=24.9,"Healthy Weight", IF(Cleaned_data!$K2&lt;=29.9,"Overweight",IF(Cleaned_data!$K2&gt;=30,"obese"))))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BD9B-99BB-4D6D-84C9-2B39E6654B9D}">
  <dimension ref="A1:J101"/>
  <sheetViews>
    <sheetView workbookViewId="0">
      <selection activeCell="K2" sqref="K2"/>
    </sheetView>
  </sheetViews>
  <sheetFormatPr defaultRowHeight="14.5" x14ac:dyDescent="0.35"/>
  <cols>
    <col min="1" max="1" width="8.81640625" customWidth="1"/>
    <col min="2" max="2" width="13.453125" customWidth="1"/>
    <col min="3" max="3" width="9" customWidth="1"/>
    <col min="4" max="5" width="11.7265625" customWidth="1"/>
    <col min="6" max="6" width="19.6328125" customWidth="1"/>
    <col min="7" max="7" width="21.1796875" customWidth="1"/>
    <col min="8" max="8" width="18.90625" customWidth="1"/>
    <col min="9" max="9" width="18.453125" customWidth="1"/>
  </cols>
  <sheetData>
    <row r="1" spans="1:10" x14ac:dyDescent="0.35">
      <c r="A1" t="s">
        <v>0</v>
      </c>
      <c r="B1" t="s">
        <v>1</v>
      </c>
      <c r="C1" t="s">
        <v>2</v>
      </c>
      <c r="D1" t="s">
        <v>3</v>
      </c>
      <c r="E1" t="s">
        <v>4</v>
      </c>
      <c r="F1" t="s">
        <v>5</v>
      </c>
      <c r="G1" t="s">
        <v>6</v>
      </c>
      <c r="H1" t="s">
        <v>7</v>
      </c>
      <c r="I1" t="s">
        <v>8</v>
      </c>
      <c r="J1" t="s">
        <v>9</v>
      </c>
    </row>
    <row r="2" spans="1:10" x14ac:dyDescent="0.35">
      <c r="A2" t="s">
        <v>10</v>
      </c>
      <c r="B2">
        <v>47</v>
      </c>
      <c r="C2" t="s">
        <v>11</v>
      </c>
      <c r="D2">
        <v>104.41</v>
      </c>
      <c r="E2">
        <v>17.34</v>
      </c>
      <c r="F2">
        <v>1</v>
      </c>
      <c r="G2">
        <v>2</v>
      </c>
      <c r="H2">
        <v>3</v>
      </c>
      <c r="I2">
        <v>1.2</v>
      </c>
      <c r="J2" t="s">
        <v>12</v>
      </c>
    </row>
    <row r="3" spans="1:10" x14ac:dyDescent="0.35">
      <c r="A3" t="s">
        <v>13</v>
      </c>
      <c r="B3">
        <v>34</v>
      </c>
      <c r="C3" t="s">
        <v>11</v>
      </c>
      <c r="D3">
        <v>99.08</v>
      </c>
      <c r="E3">
        <v>16.21</v>
      </c>
      <c r="F3">
        <v>0</v>
      </c>
      <c r="G3">
        <v>1</v>
      </c>
      <c r="H3">
        <v>1</v>
      </c>
      <c r="I3">
        <v>1.4</v>
      </c>
      <c r="J3" t="s">
        <v>14</v>
      </c>
    </row>
    <row r="4" spans="1:10" x14ac:dyDescent="0.35">
      <c r="A4" t="s">
        <v>15</v>
      </c>
      <c r="B4">
        <v>35</v>
      </c>
      <c r="C4" t="s">
        <v>11</v>
      </c>
      <c r="D4">
        <v>94.96</v>
      </c>
      <c r="E4">
        <v>17.3</v>
      </c>
      <c r="F4">
        <v>3</v>
      </c>
      <c r="G4">
        <v>3</v>
      </c>
      <c r="H4">
        <v>2</v>
      </c>
      <c r="I4">
        <v>0.6</v>
      </c>
      <c r="J4" t="s">
        <v>14</v>
      </c>
    </row>
    <row r="5" spans="1:10" x14ac:dyDescent="0.35">
      <c r="A5" t="s">
        <v>16</v>
      </c>
      <c r="B5">
        <v>39</v>
      </c>
      <c r="C5" t="s">
        <v>11</v>
      </c>
      <c r="D5">
        <v>100.65</v>
      </c>
      <c r="E5">
        <v>20.010000000000002</v>
      </c>
      <c r="F5">
        <v>2</v>
      </c>
      <c r="G5">
        <v>0</v>
      </c>
      <c r="H5">
        <v>1</v>
      </c>
      <c r="I5">
        <v>1.5</v>
      </c>
      <c r="J5" t="s">
        <v>14</v>
      </c>
    </row>
    <row r="6" spans="1:10" x14ac:dyDescent="0.35">
      <c r="A6" t="s">
        <v>17</v>
      </c>
      <c r="B6">
        <v>26</v>
      </c>
      <c r="C6" t="s">
        <v>11</v>
      </c>
      <c r="D6">
        <v>90.06</v>
      </c>
      <c r="E6">
        <v>12.16</v>
      </c>
      <c r="F6">
        <v>0</v>
      </c>
      <c r="G6">
        <v>1</v>
      </c>
      <c r="H6">
        <v>0</v>
      </c>
      <c r="I6">
        <v>0.9</v>
      </c>
      <c r="J6" t="s">
        <v>12</v>
      </c>
    </row>
    <row r="7" spans="1:10" x14ac:dyDescent="0.35">
      <c r="A7" t="s">
        <v>18</v>
      </c>
      <c r="B7">
        <v>51</v>
      </c>
      <c r="C7" t="s">
        <v>19</v>
      </c>
      <c r="D7">
        <v>108.82</v>
      </c>
      <c r="E7">
        <v>21.54</v>
      </c>
      <c r="F7">
        <v>0</v>
      </c>
      <c r="G7">
        <v>1</v>
      </c>
      <c r="H7">
        <v>1</v>
      </c>
      <c r="I7">
        <v>0.9</v>
      </c>
      <c r="J7" t="s">
        <v>20</v>
      </c>
    </row>
    <row r="8" spans="1:10" x14ac:dyDescent="0.35">
      <c r="A8" t="s">
        <v>21</v>
      </c>
      <c r="B8">
        <v>52</v>
      </c>
      <c r="C8" t="s">
        <v>19</v>
      </c>
      <c r="D8">
        <v>110.28</v>
      </c>
      <c r="E8">
        <v>21.49</v>
      </c>
      <c r="F8">
        <v>4</v>
      </c>
      <c r="G8">
        <v>0</v>
      </c>
      <c r="H8">
        <v>2</v>
      </c>
      <c r="I8">
        <v>2.8</v>
      </c>
      <c r="J8" t="s">
        <v>12</v>
      </c>
    </row>
    <row r="9" spans="1:10" x14ac:dyDescent="0.35">
      <c r="A9" t="s">
        <v>22</v>
      </c>
      <c r="B9">
        <v>52</v>
      </c>
      <c r="C9" t="s">
        <v>11</v>
      </c>
      <c r="D9">
        <v>102.65</v>
      </c>
      <c r="E9">
        <v>19.55</v>
      </c>
      <c r="F9">
        <v>2</v>
      </c>
      <c r="G9">
        <v>2</v>
      </c>
      <c r="H9">
        <v>1</v>
      </c>
      <c r="I9">
        <v>1.3</v>
      </c>
      <c r="J9" t="s">
        <v>14</v>
      </c>
    </row>
    <row r="10" spans="1:10" x14ac:dyDescent="0.35">
      <c r="A10" t="s">
        <v>23</v>
      </c>
      <c r="B10">
        <v>28</v>
      </c>
      <c r="C10" t="s">
        <v>19</v>
      </c>
      <c r="D10">
        <v>91.47</v>
      </c>
      <c r="E10">
        <v>16.39</v>
      </c>
      <c r="F10">
        <v>3</v>
      </c>
      <c r="G10">
        <v>2</v>
      </c>
      <c r="H10">
        <v>3</v>
      </c>
      <c r="I10">
        <v>0.8</v>
      </c>
      <c r="J10" t="s">
        <v>24</v>
      </c>
    </row>
    <row r="11" spans="1:10" x14ac:dyDescent="0.35">
      <c r="A11" t="s">
        <v>25</v>
      </c>
      <c r="B11">
        <v>44</v>
      </c>
      <c r="C11" t="s">
        <v>11</v>
      </c>
      <c r="D11">
        <v>111.89</v>
      </c>
      <c r="E11">
        <v>17.95</v>
      </c>
      <c r="F11">
        <v>1</v>
      </c>
      <c r="G11">
        <v>3</v>
      </c>
      <c r="H11">
        <v>0</v>
      </c>
      <c r="I11">
        <v>0.8</v>
      </c>
      <c r="J11" t="s">
        <v>14</v>
      </c>
    </row>
    <row r="12" spans="1:10" x14ac:dyDescent="0.35">
      <c r="A12" t="s">
        <v>26</v>
      </c>
      <c r="B12">
        <v>25</v>
      </c>
      <c r="C12" t="s">
        <v>19</v>
      </c>
      <c r="D12">
        <v>96.25</v>
      </c>
      <c r="E12">
        <v>13.5</v>
      </c>
      <c r="F12">
        <v>3</v>
      </c>
      <c r="G12">
        <v>4</v>
      </c>
      <c r="H12">
        <v>0</v>
      </c>
      <c r="I12">
        <v>0.6</v>
      </c>
      <c r="J12" t="s">
        <v>27</v>
      </c>
    </row>
    <row r="13" spans="1:10" x14ac:dyDescent="0.35">
      <c r="A13" t="s">
        <v>28</v>
      </c>
      <c r="B13">
        <v>32</v>
      </c>
      <c r="C13" t="s">
        <v>11</v>
      </c>
      <c r="D13">
        <v>96.02</v>
      </c>
      <c r="E13">
        <v>16.55</v>
      </c>
      <c r="F13">
        <v>2</v>
      </c>
      <c r="G13">
        <v>0</v>
      </c>
      <c r="H13">
        <v>2</v>
      </c>
      <c r="I13">
        <v>1</v>
      </c>
      <c r="J13" t="s">
        <v>24</v>
      </c>
    </row>
    <row r="14" spans="1:10" x14ac:dyDescent="0.35">
      <c r="A14" t="s">
        <v>29</v>
      </c>
      <c r="B14">
        <v>34</v>
      </c>
      <c r="C14" t="s">
        <v>19</v>
      </c>
      <c r="D14">
        <v>97.37</v>
      </c>
      <c r="E14">
        <v>15.55</v>
      </c>
      <c r="F14">
        <v>0</v>
      </c>
      <c r="G14">
        <v>1</v>
      </c>
      <c r="H14">
        <v>2</v>
      </c>
      <c r="I14">
        <v>1.3</v>
      </c>
      <c r="J14" t="s">
        <v>20</v>
      </c>
    </row>
    <row r="15" spans="1:10" x14ac:dyDescent="0.35">
      <c r="A15" t="s">
        <v>30</v>
      </c>
      <c r="B15">
        <v>49</v>
      </c>
      <c r="C15" t="s">
        <v>19</v>
      </c>
      <c r="D15">
        <v>108.39</v>
      </c>
      <c r="E15">
        <v>20.100000000000001</v>
      </c>
      <c r="F15">
        <v>0</v>
      </c>
      <c r="G15">
        <v>2</v>
      </c>
      <c r="H15">
        <v>3</v>
      </c>
      <c r="I15">
        <v>0.6</v>
      </c>
      <c r="J15" t="s">
        <v>20</v>
      </c>
    </row>
    <row r="16" spans="1:10" x14ac:dyDescent="0.35">
      <c r="A16" t="s">
        <v>31</v>
      </c>
      <c r="B16">
        <v>25</v>
      </c>
      <c r="C16" t="s">
        <v>19</v>
      </c>
      <c r="D16">
        <v>92.58</v>
      </c>
      <c r="E16">
        <v>15.13</v>
      </c>
      <c r="F16">
        <v>2</v>
      </c>
      <c r="G16">
        <v>2</v>
      </c>
      <c r="H16">
        <v>2</v>
      </c>
      <c r="I16">
        <v>1.6</v>
      </c>
      <c r="J16" t="s">
        <v>14</v>
      </c>
    </row>
    <row r="17" spans="1:10" x14ac:dyDescent="0.35">
      <c r="A17" t="s">
        <v>32</v>
      </c>
      <c r="B17">
        <v>38</v>
      </c>
      <c r="C17" t="s">
        <v>19</v>
      </c>
      <c r="D17">
        <v>99.65</v>
      </c>
      <c r="E17">
        <v>16.940000000000001</v>
      </c>
      <c r="F17">
        <v>1</v>
      </c>
      <c r="G17">
        <v>3</v>
      </c>
      <c r="H17">
        <v>3</v>
      </c>
      <c r="I17">
        <v>2.1</v>
      </c>
      <c r="J17" t="s">
        <v>14</v>
      </c>
    </row>
    <row r="18" spans="1:10" x14ac:dyDescent="0.35">
      <c r="A18" t="s">
        <v>33</v>
      </c>
      <c r="B18">
        <v>38</v>
      </c>
      <c r="C18" t="s">
        <v>11</v>
      </c>
      <c r="D18">
        <v>98.91</v>
      </c>
      <c r="E18">
        <v>19.489999999999998</v>
      </c>
      <c r="F18">
        <v>0</v>
      </c>
      <c r="G18">
        <v>0</v>
      </c>
      <c r="H18">
        <v>3</v>
      </c>
      <c r="I18">
        <v>3.1</v>
      </c>
      <c r="J18" t="s">
        <v>14</v>
      </c>
    </row>
    <row r="19" spans="1:10" x14ac:dyDescent="0.35">
      <c r="A19" t="s">
        <v>34</v>
      </c>
      <c r="B19">
        <v>25</v>
      </c>
      <c r="C19" t="s">
        <v>11</v>
      </c>
      <c r="D19">
        <v>96.42</v>
      </c>
      <c r="E19">
        <v>14.69</v>
      </c>
      <c r="F19">
        <v>1</v>
      </c>
      <c r="G19">
        <v>3</v>
      </c>
      <c r="H19">
        <v>2</v>
      </c>
      <c r="I19">
        <v>1.2</v>
      </c>
      <c r="J19" t="s">
        <v>24</v>
      </c>
    </row>
    <row r="20" spans="1:10" x14ac:dyDescent="0.35">
      <c r="A20" t="s">
        <v>35</v>
      </c>
      <c r="B20">
        <v>57</v>
      </c>
      <c r="C20" t="s">
        <v>11</v>
      </c>
      <c r="D20">
        <v>109.26</v>
      </c>
      <c r="E20">
        <v>20.61</v>
      </c>
      <c r="F20">
        <v>3</v>
      </c>
      <c r="G20">
        <v>2</v>
      </c>
      <c r="H20">
        <v>1</v>
      </c>
      <c r="I20">
        <v>2</v>
      </c>
      <c r="J20" t="s">
        <v>20</v>
      </c>
    </row>
    <row r="21" spans="1:10" x14ac:dyDescent="0.35">
      <c r="A21" t="s">
        <v>36</v>
      </c>
      <c r="B21">
        <v>34</v>
      </c>
      <c r="C21" t="s">
        <v>19</v>
      </c>
      <c r="D21">
        <v>98.22</v>
      </c>
      <c r="E21">
        <v>15.49</v>
      </c>
      <c r="F21">
        <v>1</v>
      </c>
      <c r="G21">
        <v>2</v>
      </c>
      <c r="H21">
        <v>0</v>
      </c>
      <c r="I21">
        <v>0.8</v>
      </c>
      <c r="J21" t="s">
        <v>14</v>
      </c>
    </row>
    <row r="22" spans="1:10" x14ac:dyDescent="0.35">
      <c r="A22" t="s">
        <v>37</v>
      </c>
      <c r="B22">
        <v>35</v>
      </c>
      <c r="C22" t="s">
        <v>11</v>
      </c>
      <c r="D22">
        <v>101.02</v>
      </c>
      <c r="E22">
        <v>16.760000000000002</v>
      </c>
      <c r="F22">
        <v>3</v>
      </c>
      <c r="G22">
        <v>2</v>
      </c>
      <c r="H22">
        <v>2</v>
      </c>
      <c r="I22">
        <v>1.9</v>
      </c>
      <c r="J22" t="s">
        <v>12</v>
      </c>
    </row>
    <row r="23" spans="1:10" x14ac:dyDescent="0.35">
      <c r="A23" t="s">
        <v>38</v>
      </c>
      <c r="B23">
        <v>56</v>
      </c>
      <c r="C23" t="s">
        <v>19</v>
      </c>
      <c r="D23">
        <v>111.44</v>
      </c>
      <c r="E23">
        <v>21.87</v>
      </c>
      <c r="F23">
        <v>4</v>
      </c>
      <c r="G23">
        <v>1</v>
      </c>
      <c r="H23">
        <v>2</v>
      </c>
      <c r="I23">
        <v>1.9</v>
      </c>
      <c r="J23" t="s">
        <v>20</v>
      </c>
    </row>
    <row r="24" spans="1:10" x14ac:dyDescent="0.35">
      <c r="A24" t="s">
        <v>39</v>
      </c>
      <c r="B24">
        <v>46</v>
      </c>
      <c r="C24" t="s">
        <v>19</v>
      </c>
      <c r="D24">
        <v>103.85</v>
      </c>
      <c r="E24">
        <v>19.47</v>
      </c>
      <c r="F24">
        <v>2</v>
      </c>
      <c r="G24">
        <v>4</v>
      </c>
      <c r="H24">
        <v>3</v>
      </c>
      <c r="I24">
        <v>2.9</v>
      </c>
      <c r="J24" t="s">
        <v>20</v>
      </c>
    </row>
    <row r="25" spans="1:10" x14ac:dyDescent="0.35">
      <c r="A25" t="s">
        <v>40</v>
      </c>
      <c r="B25">
        <v>35</v>
      </c>
      <c r="C25" t="s">
        <v>11</v>
      </c>
      <c r="D25">
        <v>102.67</v>
      </c>
      <c r="E25">
        <v>13.79</v>
      </c>
      <c r="F25">
        <v>4</v>
      </c>
      <c r="G25">
        <v>1</v>
      </c>
      <c r="H25">
        <v>1</v>
      </c>
      <c r="I25">
        <v>2</v>
      </c>
      <c r="J25" t="s">
        <v>14</v>
      </c>
    </row>
    <row r="26" spans="1:10" x14ac:dyDescent="0.35">
      <c r="A26" t="s">
        <v>41</v>
      </c>
      <c r="B26">
        <v>52</v>
      </c>
      <c r="C26" t="s">
        <v>19</v>
      </c>
      <c r="D26">
        <v>107.91</v>
      </c>
      <c r="E26">
        <v>19.27</v>
      </c>
      <c r="F26">
        <v>4</v>
      </c>
      <c r="G26">
        <v>0</v>
      </c>
      <c r="H26">
        <v>0</v>
      </c>
      <c r="I26">
        <v>0.8</v>
      </c>
      <c r="J26" t="s">
        <v>20</v>
      </c>
    </row>
    <row r="27" spans="1:10" x14ac:dyDescent="0.35">
      <c r="A27" t="s">
        <v>42</v>
      </c>
      <c r="B27">
        <v>30</v>
      </c>
      <c r="C27" t="s">
        <v>11</v>
      </c>
      <c r="D27">
        <v>96.67</v>
      </c>
      <c r="E27">
        <v>15.72</v>
      </c>
      <c r="F27">
        <v>3</v>
      </c>
      <c r="G27">
        <v>1</v>
      </c>
      <c r="H27">
        <v>2</v>
      </c>
      <c r="I27">
        <v>1.2</v>
      </c>
      <c r="J27" t="s">
        <v>24</v>
      </c>
    </row>
    <row r="28" spans="1:10" x14ac:dyDescent="0.35">
      <c r="A28" t="s">
        <v>43</v>
      </c>
      <c r="B28">
        <v>35</v>
      </c>
      <c r="C28" t="s">
        <v>19</v>
      </c>
      <c r="D28">
        <v>101.41</v>
      </c>
      <c r="E28">
        <v>19.45</v>
      </c>
      <c r="F28">
        <v>0</v>
      </c>
      <c r="G28">
        <v>4</v>
      </c>
      <c r="H28">
        <v>2</v>
      </c>
      <c r="I28">
        <v>1.9</v>
      </c>
      <c r="J28" t="s">
        <v>12</v>
      </c>
    </row>
    <row r="29" spans="1:10" x14ac:dyDescent="0.35">
      <c r="A29" t="s">
        <v>44</v>
      </c>
      <c r="B29">
        <v>32</v>
      </c>
      <c r="C29" t="s">
        <v>11</v>
      </c>
      <c r="D29">
        <v>102.28</v>
      </c>
      <c r="E29">
        <v>11.75</v>
      </c>
      <c r="F29">
        <v>2</v>
      </c>
      <c r="G29">
        <v>1</v>
      </c>
      <c r="H29">
        <v>1</v>
      </c>
      <c r="I29">
        <v>1.3</v>
      </c>
      <c r="J29" t="s">
        <v>20</v>
      </c>
    </row>
    <row r="30" spans="1:10" x14ac:dyDescent="0.35">
      <c r="A30" t="s">
        <v>45</v>
      </c>
      <c r="B30">
        <v>46</v>
      </c>
      <c r="C30" t="s">
        <v>19</v>
      </c>
      <c r="D30">
        <v>105.06</v>
      </c>
      <c r="E30">
        <v>17.260000000000002</v>
      </c>
      <c r="F30">
        <v>4</v>
      </c>
      <c r="G30">
        <v>1</v>
      </c>
      <c r="H30">
        <v>2</v>
      </c>
      <c r="I30">
        <v>0.8</v>
      </c>
      <c r="J30" t="s">
        <v>14</v>
      </c>
    </row>
    <row r="31" spans="1:10" x14ac:dyDescent="0.35">
      <c r="A31" t="s">
        <v>46</v>
      </c>
      <c r="B31">
        <v>43</v>
      </c>
      <c r="C31" t="s">
        <v>19</v>
      </c>
      <c r="D31">
        <v>103.22</v>
      </c>
      <c r="E31">
        <v>20.74</v>
      </c>
      <c r="F31">
        <v>2</v>
      </c>
      <c r="G31">
        <v>2</v>
      </c>
      <c r="H31">
        <v>3</v>
      </c>
      <c r="I31">
        <v>2.1</v>
      </c>
      <c r="J31" t="s">
        <v>12</v>
      </c>
    </row>
    <row r="32" spans="1:10" x14ac:dyDescent="0.35">
      <c r="A32" t="s">
        <v>47</v>
      </c>
      <c r="B32">
        <v>46</v>
      </c>
      <c r="C32" t="s">
        <v>11</v>
      </c>
      <c r="D32">
        <v>105.42</v>
      </c>
      <c r="E32">
        <v>20.23</v>
      </c>
      <c r="F32">
        <v>4</v>
      </c>
      <c r="G32">
        <v>0</v>
      </c>
      <c r="H32">
        <v>2</v>
      </c>
      <c r="I32">
        <v>2.2999999999999998</v>
      </c>
      <c r="J32" t="s">
        <v>27</v>
      </c>
    </row>
    <row r="33" spans="1:10" x14ac:dyDescent="0.35">
      <c r="A33" t="s">
        <v>48</v>
      </c>
      <c r="B33">
        <v>32</v>
      </c>
      <c r="C33" t="s">
        <v>19</v>
      </c>
      <c r="D33">
        <v>97.29</v>
      </c>
      <c r="E33">
        <v>12.89</v>
      </c>
      <c r="F33">
        <v>4</v>
      </c>
      <c r="G33">
        <v>2</v>
      </c>
      <c r="H33">
        <v>2</v>
      </c>
      <c r="I33">
        <v>1.3</v>
      </c>
      <c r="J33" t="s">
        <v>14</v>
      </c>
    </row>
    <row r="34" spans="1:10" x14ac:dyDescent="0.35">
      <c r="A34" t="s">
        <v>49</v>
      </c>
      <c r="B34">
        <v>46</v>
      </c>
      <c r="C34" t="s">
        <v>19</v>
      </c>
      <c r="D34">
        <v>106.22</v>
      </c>
      <c r="E34">
        <v>19.48</v>
      </c>
      <c r="F34">
        <v>4</v>
      </c>
      <c r="G34">
        <v>3</v>
      </c>
      <c r="H34">
        <v>0</v>
      </c>
      <c r="I34">
        <v>0.7</v>
      </c>
      <c r="J34" t="s">
        <v>12</v>
      </c>
    </row>
    <row r="35" spans="1:10" x14ac:dyDescent="0.35">
      <c r="A35" t="s">
        <v>50</v>
      </c>
      <c r="B35">
        <v>56</v>
      </c>
      <c r="C35" t="s">
        <v>11</v>
      </c>
      <c r="D35">
        <v>114.63</v>
      </c>
      <c r="E35">
        <v>20.11</v>
      </c>
      <c r="F35">
        <v>2</v>
      </c>
      <c r="G35">
        <v>1</v>
      </c>
      <c r="H35">
        <v>0</v>
      </c>
      <c r="I35">
        <v>0.8</v>
      </c>
      <c r="J35" t="s">
        <v>27</v>
      </c>
    </row>
    <row r="36" spans="1:10" x14ac:dyDescent="0.35">
      <c r="A36" t="s">
        <v>51</v>
      </c>
      <c r="B36">
        <v>30</v>
      </c>
      <c r="C36" t="s">
        <v>11</v>
      </c>
      <c r="D36">
        <v>93.15</v>
      </c>
      <c r="E36">
        <v>14.24</v>
      </c>
      <c r="F36">
        <v>1</v>
      </c>
      <c r="G36">
        <v>1</v>
      </c>
      <c r="H36">
        <v>2</v>
      </c>
      <c r="I36">
        <v>1.3</v>
      </c>
      <c r="J36" t="s">
        <v>14</v>
      </c>
    </row>
    <row r="37" spans="1:10" x14ac:dyDescent="0.35">
      <c r="A37" t="s">
        <v>52</v>
      </c>
      <c r="B37">
        <v>44</v>
      </c>
      <c r="C37" t="s">
        <v>11</v>
      </c>
      <c r="D37">
        <v>102.36</v>
      </c>
      <c r="E37">
        <v>19.600000000000001</v>
      </c>
      <c r="F37">
        <v>1</v>
      </c>
      <c r="G37">
        <v>2</v>
      </c>
      <c r="H37">
        <v>0</v>
      </c>
      <c r="I37">
        <v>0.9</v>
      </c>
      <c r="J37" t="s">
        <v>27</v>
      </c>
    </row>
    <row r="38" spans="1:10" x14ac:dyDescent="0.35">
      <c r="A38" t="s">
        <v>53</v>
      </c>
      <c r="B38">
        <v>43</v>
      </c>
      <c r="C38" t="s">
        <v>11</v>
      </c>
      <c r="D38">
        <v>105.34</v>
      </c>
      <c r="E38">
        <v>14.14</v>
      </c>
      <c r="F38">
        <v>4</v>
      </c>
      <c r="G38">
        <v>3</v>
      </c>
      <c r="H38">
        <v>0</v>
      </c>
      <c r="I38">
        <v>0.8</v>
      </c>
      <c r="J38" t="s">
        <v>20</v>
      </c>
    </row>
    <row r="39" spans="1:10" x14ac:dyDescent="0.35">
      <c r="A39" t="s">
        <v>54</v>
      </c>
      <c r="B39">
        <v>31</v>
      </c>
      <c r="C39" t="s">
        <v>11</v>
      </c>
      <c r="D39">
        <v>96.26</v>
      </c>
      <c r="E39">
        <v>17.63</v>
      </c>
      <c r="F39">
        <v>3</v>
      </c>
      <c r="G39">
        <v>3</v>
      </c>
      <c r="H39">
        <v>2</v>
      </c>
      <c r="I39">
        <v>1.7</v>
      </c>
      <c r="J39" t="s">
        <v>20</v>
      </c>
    </row>
    <row r="40" spans="1:10" x14ac:dyDescent="0.35">
      <c r="A40" t="s">
        <v>55</v>
      </c>
      <c r="B40">
        <v>28</v>
      </c>
      <c r="C40" t="s">
        <v>19</v>
      </c>
      <c r="D40">
        <v>97.25</v>
      </c>
      <c r="E40">
        <v>14.98</v>
      </c>
      <c r="F40">
        <v>3</v>
      </c>
      <c r="G40">
        <v>4</v>
      </c>
      <c r="H40">
        <v>3</v>
      </c>
      <c r="I40">
        <v>3.2</v>
      </c>
      <c r="J40" t="s">
        <v>14</v>
      </c>
    </row>
    <row r="41" spans="1:10" x14ac:dyDescent="0.35">
      <c r="A41" t="s">
        <v>56</v>
      </c>
      <c r="B41">
        <v>48</v>
      </c>
      <c r="C41" t="s">
        <v>19</v>
      </c>
      <c r="D41">
        <v>108.23</v>
      </c>
      <c r="E41">
        <v>21</v>
      </c>
      <c r="F41">
        <v>3</v>
      </c>
      <c r="G41">
        <v>4</v>
      </c>
      <c r="H41">
        <v>0</v>
      </c>
      <c r="I41">
        <v>0.6</v>
      </c>
      <c r="J41" t="s">
        <v>14</v>
      </c>
    </row>
    <row r="42" spans="1:10" x14ac:dyDescent="0.35">
      <c r="A42" t="s">
        <v>57</v>
      </c>
      <c r="B42">
        <v>27</v>
      </c>
      <c r="C42" t="s">
        <v>19</v>
      </c>
      <c r="D42">
        <v>97</v>
      </c>
      <c r="E42">
        <v>15.12</v>
      </c>
      <c r="F42">
        <v>4</v>
      </c>
      <c r="G42">
        <v>0</v>
      </c>
      <c r="H42">
        <v>1</v>
      </c>
      <c r="I42">
        <v>1.7</v>
      </c>
      <c r="J42" t="s">
        <v>24</v>
      </c>
    </row>
    <row r="43" spans="1:10" x14ac:dyDescent="0.35">
      <c r="A43" t="s">
        <v>58</v>
      </c>
      <c r="B43">
        <v>45</v>
      </c>
      <c r="C43" t="s">
        <v>19</v>
      </c>
      <c r="D43">
        <v>107.27</v>
      </c>
      <c r="E43">
        <v>22.7</v>
      </c>
      <c r="F43">
        <v>4</v>
      </c>
      <c r="G43">
        <v>0</v>
      </c>
      <c r="H43">
        <v>0</v>
      </c>
      <c r="I43">
        <v>0.8</v>
      </c>
      <c r="J43" t="s">
        <v>12</v>
      </c>
    </row>
    <row r="44" spans="1:10" x14ac:dyDescent="0.35">
      <c r="A44" t="s">
        <v>59</v>
      </c>
      <c r="B44">
        <v>54</v>
      </c>
      <c r="C44" t="s">
        <v>19</v>
      </c>
      <c r="D44">
        <v>112.46</v>
      </c>
      <c r="E44">
        <v>21.36</v>
      </c>
      <c r="F44">
        <v>2</v>
      </c>
      <c r="G44">
        <v>0</v>
      </c>
      <c r="H44">
        <v>1</v>
      </c>
      <c r="I44">
        <v>1</v>
      </c>
      <c r="J44" t="s">
        <v>14</v>
      </c>
    </row>
    <row r="45" spans="1:10" x14ac:dyDescent="0.35">
      <c r="A45" t="s">
        <v>60</v>
      </c>
      <c r="B45">
        <v>40</v>
      </c>
      <c r="C45" t="s">
        <v>19</v>
      </c>
      <c r="D45">
        <v>103.32</v>
      </c>
      <c r="E45">
        <v>17.41</v>
      </c>
      <c r="F45">
        <v>1</v>
      </c>
      <c r="G45">
        <v>0</v>
      </c>
      <c r="H45">
        <v>2</v>
      </c>
      <c r="I45">
        <v>2</v>
      </c>
      <c r="J45" t="s">
        <v>20</v>
      </c>
    </row>
    <row r="46" spans="1:10" x14ac:dyDescent="0.35">
      <c r="A46" t="s">
        <v>61</v>
      </c>
      <c r="B46">
        <v>52</v>
      </c>
      <c r="C46" t="s">
        <v>11</v>
      </c>
      <c r="D46">
        <v>107.31</v>
      </c>
      <c r="E46">
        <v>17.34</v>
      </c>
      <c r="F46">
        <v>1</v>
      </c>
      <c r="G46">
        <v>3</v>
      </c>
      <c r="H46">
        <v>0</v>
      </c>
      <c r="I46">
        <v>0.5</v>
      </c>
      <c r="J46" t="s">
        <v>24</v>
      </c>
    </row>
    <row r="47" spans="1:10" x14ac:dyDescent="0.35">
      <c r="A47" t="s">
        <v>62</v>
      </c>
      <c r="B47">
        <v>34</v>
      </c>
      <c r="C47" t="s">
        <v>19</v>
      </c>
      <c r="D47">
        <v>99.12</v>
      </c>
      <c r="E47">
        <v>17.43</v>
      </c>
      <c r="F47">
        <v>3</v>
      </c>
      <c r="G47">
        <v>4</v>
      </c>
      <c r="H47">
        <v>3</v>
      </c>
      <c r="I47">
        <v>1.6</v>
      </c>
      <c r="J47" t="s">
        <v>12</v>
      </c>
    </row>
    <row r="48" spans="1:10" x14ac:dyDescent="0.35">
      <c r="A48" t="s">
        <v>63</v>
      </c>
      <c r="B48">
        <v>27</v>
      </c>
      <c r="C48" t="s">
        <v>19</v>
      </c>
      <c r="D48">
        <v>93.16</v>
      </c>
      <c r="E48">
        <v>15.53</v>
      </c>
      <c r="F48">
        <v>2</v>
      </c>
      <c r="G48">
        <v>2</v>
      </c>
      <c r="H48">
        <v>0</v>
      </c>
      <c r="I48">
        <v>0.8</v>
      </c>
      <c r="J48" t="s">
        <v>14</v>
      </c>
    </row>
    <row r="49" spans="1:10" x14ac:dyDescent="0.35">
      <c r="A49" t="s">
        <v>64</v>
      </c>
      <c r="B49">
        <v>55</v>
      </c>
      <c r="C49" t="s">
        <v>19</v>
      </c>
      <c r="D49">
        <v>111.49</v>
      </c>
      <c r="E49">
        <v>20.23</v>
      </c>
      <c r="F49">
        <v>1</v>
      </c>
      <c r="G49">
        <v>0</v>
      </c>
      <c r="H49">
        <v>1</v>
      </c>
      <c r="I49">
        <v>1.6</v>
      </c>
      <c r="J49" t="s">
        <v>24</v>
      </c>
    </row>
    <row r="50" spans="1:10" x14ac:dyDescent="0.35">
      <c r="A50" t="s">
        <v>65</v>
      </c>
      <c r="B50">
        <v>42</v>
      </c>
      <c r="C50" t="s">
        <v>11</v>
      </c>
      <c r="D50">
        <v>108.71</v>
      </c>
      <c r="E50">
        <v>16.2</v>
      </c>
      <c r="F50">
        <v>2</v>
      </c>
      <c r="G50">
        <v>1</v>
      </c>
      <c r="H50">
        <v>3</v>
      </c>
      <c r="I50">
        <v>1.1000000000000001</v>
      </c>
      <c r="J50" t="s">
        <v>24</v>
      </c>
    </row>
    <row r="51" spans="1:10" x14ac:dyDescent="0.35">
      <c r="A51" t="s">
        <v>66</v>
      </c>
      <c r="B51">
        <v>36</v>
      </c>
      <c r="C51" t="s">
        <v>11</v>
      </c>
      <c r="D51">
        <v>97.21</v>
      </c>
      <c r="E51">
        <v>13.41</v>
      </c>
      <c r="F51">
        <v>4</v>
      </c>
      <c r="G51">
        <v>3</v>
      </c>
      <c r="H51">
        <v>1</v>
      </c>
      <c r="I51">
        <v>0.9</v>
      </c>
      <c r="J51" t="s">
        <v>14</v>
      </c>
    </row>
    <row r="52" spans="1:10" x14ac:dyDescent="0.35">
      <c r="A52" t="s">
        <v>67</v>
      </c>
      <c r="B52">
        <v>34</v>
      </c>
      <c r="C52" t="s">
        <v>11</v>
      </c>
      <c r="D52">
        <v>98.46</v>
      </c>
      <c r="E52">
        <v>15.38</v>
      </c>
      <c r="F52">
        <v>3</v>
      </c>
      <c r="G52">
        <v>2</v>
      </c>
      <c r="H52">
        <v>2</v>
      </c>
      <c r="I52">
        <v>1.2</v>
      </c>
      <c r="J52" t="s">
        <v>12</v>
      </c>
    </row>
    <row r="53" spans="1:10" x14ac:dyDescent="0.35">
      <c r="A53" t="s">
        <v>68</v>
      </c>
      <c r="B53">
        <v>40</v>
      </c>
      <c r="C53" t="s">
        <v>11</v>
      </c>
      <c r="D53">
        <v>100.6</v>
      </c>
      <c r="E53">
        <v>17.309999999999999</v>
      </c>
      <c r="F53">
        <v>0</v>
      </c>
      <c r="G53">
        <v>3</v>
      </c>
      <c r="H53">
        <v>0</v>
      </c>
      <c r="I53">
        <v>0.6</v>
      </c>
      <c r="J53" t="s">
        <v>27</v>
      </c>
    </row>
    <row r="54" spans="1:10" x14ac:dyDescent="0.35">
      <c r="A54" t="s">
        <v>69</v>
      </c>
      <c r="B54">
        <v>39</v>
      </c>
      <c r="C54" t="s">
        <v>11</v>
      </c>
      <c r="D54">
        <v>96.54</v>
      </c>
      <c r="E54">
        <v>18.239999999999998</v>
      </c>
      <c r="F54">
        <v>4</v>
      </c>
      <c r="G54">
        <v>3</v>
      </c>
      <c r="H54">
        <v>1</v>
      </c>
      <c r="I54">
        <v>1.9</v>
      </c>
      <c r="J54" t="s">
        <v>27</v>
      </c>
    </row>
    <row r="55" spans="1:10" x14ac:dyDescent="0.35">
      <c r="A55" t="s">
        <v>70</v>
      </c>
      <c r="B55">
        <v>57</v>
      </c>
      <c r="C55" t="s">
        <v>19</v>
      </c>
      <c r="D55">
        <v>110.58</v>
      </c>
      <c r="E55">
        <v>21.99</v>
      </c>
      <c r="F55">
        <v>3</v>
      </c>
      <c r="G55">
        <v>0</v>
      </c>
      <c r="H55">
        <v>0</v>
      </c>
      <c r="I55">
        <v>0.9</v>
      </c>
      <c r="J55" t="s">
        <v>12</v>
      </c>
    </row>
    <row r="56" spans="1:10" x14ac:dyDescent="0.35">
      <c r="A56" t="s">
        <v>71</v>
      </c>
      <c r="B56">
        <v>50</v>
      </c>
      <c r="C56" t="s">
        <v>11</v>
      </c>
      <c r="D56">
        <v>114.47</v>
      </c>
      <c r="E56">
        <v>18.010000000000002</v>
      </c>
      <c r="F56">
        <v>1</v>
      </c>
      <c r="G56">
        <v>3</v>
      </c>
      <c r="H56">
        <v>0</v>
      </c>
      <c r="I56">
        <v>0.6</v>
      </c>
      <c r="J56" t="s">
        <v>24</v>
      </c>
    </row>
    <row r="57" spans="1:10" x14ac:dyDescent="0.35">
      <c r="A57" t="s">
        <v>72</v>
      </c>
      <c r="B57">
        <v>31</v>
      </c>
      <c r="C57" t="s">
        <v>11</v>
      </c>
      <c r="D57">
        <v>96.28</v>
      </c>
      <c r="E57">
        <v>16.84</v>
      </c>
      <c r="F57">
        <v>4</v>
      </c>
      <c r="G57">
        <v>2</v>
      </c>
      <c r="H57">
        <v>3</v>
      </c>
      <c r="I57">
        <v>0.5</v>
      </c>
      <c r="J57" t="s">
        <v>20</v>
      </c>
    </row>
    <row r="58" spans="1:10" x14ac:dyDescent="0.35">
      <c r="A58" t="s">
        <v>73</v>
      </c>
      <c r="B58">
        <v>44</v>
      </c>
      <c r="C58" t="s">
        <v>11</v>
      </c>
      <c r="D58">
        <v>104.76</v>
      </c>
      <c r="E58">
        <v>18.399999999999999</v>
      </c>
      <c r="F58">
        <v>4</v>
      </c>
      <c r="G58">
        <v>2</v>
      </c>
      <c r="H58">
        <v>1</v>
      </c>
      <c r="I58">
        <v>0.7</v>
      </c>
      <c r="J58" t="s">
        <v>12</v>
      </c>
    </row>
    <row r="59" spans="1:10" x14ac:dyDescent="0.35">
      <c r="A59" t="s">
        <v>74</v>
      </c>
      <c r="B59">
        <v>42</v>
      </c>
      <c r="C59" t="s">
        <v>19</v>
      </c>
      <c r="D59">
        <v>105.35</v>
      </c>
      <c r="E59">
        <v>19.88</v>
      </c>
      <c r="F59">
        <v>1</v>
      </c>
      <c r="G59">
        <v>2</v>
      </c>
      <c r="H59">
        <v>2</v>
      </c>
      <c r="I59">
        <v>2.8</v>
      </c>
      <c r="J59" t="s">
        <v>20</v>
      </c>
    </row>
    <row r="60" spans="1:10" x14ac:dyDescent="0.35">
      <c r="A60" t="s">
        <v>75</v>
      </c>
      <c r="B60">
        <v>59</v>
      </c>
      <c r="C60" t="s">
        <v>19</v>
      </c>
      <c r="D60">
        <v>110.75</v>
      </c>
      <c r="E60">
        <v>24.56</v>
      </c>
      <c r="F60">
        <v>4</v>
      </c>
      <c r="G60">
        <v>4</v>
      </c>
      <c r="H60">
        <v>1</v>
      </c>
      <c r="I60">
        <v>1.7</v>
      </c>
      <c r="J60" t="s">
        <v>12</v>
      </c>
    </row>
    <row r="61" spans="1:10" x14ac:dyDescent="0.35">
      <c r="A61" t="s">
        <v>76</v>
      </c>
      <c r="B61">
        <v>56</v>
      </c>
      <c r="C61" t="s">
        <v>19</v>
      </c>
      <c r="D61">
        <v>108</v>
      </c>
      <c r="E61">
        <v>22.24</v>
      </c>
      <c r="F61">
        <v>2</v>
      </c>
      <c r="G61">
        <v>4</v>
      </c>
      <c r="H61">
        <v>2</v>
      </c>
      <c r="I61">
        <v>1.1000000000000001</v>
      </c>
      <c r="J61" t="s">
        <v>14</v>
      </c>
    </row>
    <row r="62" spans="1:10" x14ac:dyDescent="0.35">
      <c r="A62" t="s">
        <v>77</v>
      </c>
      <c r="B62">
        <v>32</v>
      </c>
      <c r="C62" t="s">
        <v>11</v>
      </c>
      <c r="D62">
        <v>98.63</v>
      </c>
      <c r="E62">
        <v>17.96</v>
      </c>
      <c r="F62">
        <v>0</v>
      </c>
      <c r="G62">
        <v>0</v>
      </c>
      <c r="H62">
        <v>2</v>
      </c>
      <c r="I62">
        <v>2.6</v>
      </c>
      <c r="J62" t="s">
        <v>24</v>
      </c>
    </row>
    <row r="63" spans="1:10" x14ac:dyDescent="0.35">
      <c r="A63" t="s">
        <v>78</v>
      </c>
      <c r="B63">
        <v>47</v>
      </c>
      <c r="C63" t="s">
        <v>11</v>
      </c>
      <c r="D63">
        <v>103.57</v>
      </c>
      <c r="E63">
        <v>22.13</v>
      </c>
      <c r="F63">
        <v>3</v>
      </c>
      <c r="G63">
        <v>2</v>
      </c>
      <c r="H63">
        <v>0</v>
      </c>
      <c r="I63">
        <v>0.6</v>
      </c>
      <c r="J63" t="s">
        <v>12</v>
      </c>
    </row>
    <row r="64" spans="1:10" x14ac:dyDescent="0.35">
      <c r="A64" t="s">
        <v>79</v>
      </c>
      <c r="B64">
        <v>28</v>
      </c>
      <c r="C64" t="s">
        <v>19</v>
      </c>
      <c r="D64">
        <v>92.72</v>
      </c>
      <c r="E64">
        <v>15.7</v>
      </c>
      <c r="F64">
        <v>4</v>
      </c>
      <c r="G64">
        <v>0</v>
      </c>
      <c r="H64">
        <v>1</v>
      </c>
      <c r="I64">
        <v>0.5</v>
      </c>
      <c r="J64" t="s">
        <v>24</v>
      </c>
    </row>
    <row r="65" spans="1:10" x14ac:dyDescent="0.35">
      <c r="A65" t="s">
        <v>80</v>
      </c>
      <c r="B65">
        <v>56</v>
      </c>
      <c r="C65" t="s">
        <v>19</v>
      </c>
      <c r="D65">
        <v>113.3</v>
      </c>
      <c r="E65">
        <v>20.45</v>
      </c>
      <c r="F65">
        <v>2</v>
      </c>
      <c r="G65">
        <v>2</v>
      </c>
      <c r="H65">
        <v>2</v>
      </c>
      <c r="I65">
        <v>0.5</v>
      </c>
      <c r="J65" t="s">
        <v>27</v>
      </c>
    </row>
    <row r="66" spans="1:10" x14ac:dyDescent="0.35">
      <c r="A66" t="s">
        <v>81</v>
      </c>
      <c r="B66">
        <v>38</v>
      </c>
      <c r="C66" t="s">
        <v>19</v>
      </c>
      <c r="D66">
        <v>104.84</v>
      </c>
      <c r="E66">
        <v>19.829999999999998</v>
      </c>
      <c r="F66">
        <v>4</v>
      </c>
      <c r="G66">
        <v>0</v>
      </c>
      <c r="H66">
        <v>0</v>
      </c>
      <c r="I66">
        <v>0.8</v>
      </c>
      <c r="J66" t="s">
        <v>24</v>
      </c>
    </row>
    <row r="67" spans="1:10" x14ac:dyDescent="0.35">
      <c r="A67" t="s">
        <v>82</v>
      </c>
      <c r="B67">
        <v>50</v>
      </c>
      <c r="C67" t="s">
        <v>11</v>
      </c>
      <c r="D67">
        <v>104.56</v>
      </c>
      <c r="E67">
        <v>21.62</v>
      </c>
      <c r="F67">
        <v>4</v>
      </c>
      <c r="G67">
        <v>1</v>
      </c>
      <c r="H67">
        <v>1</v>
      </c>
      <c r="I67">
        <v>2</v>
      </c>
      <c r="J67" t="s">
        <v>12</v>
      </c>
    </row>
    <row r="68" spans="1:10" x14ac:dyDescent="0.35">
      <c r="A68" t="s">
        <v>83</v>
      </c>
      <c r="B68">
        <v>27</v>
      </c>
      <c r="C68" t="s">
        <v>19</v>
      </c>
      <c r="D68">
        <v>97.32</v>
      </c>
      <c r="E68">
        <v>16.28</v>
      </c>
      <c r="F68">
        <v>2</v>
      </c>
      <c r="G68">
        <v>4</v>
      </c>
      <c r="H68">
        <v>0</v>
      </c>
      <c r="I68">
        <v>0.8</v>
      </c>
      <c r="J68" t="s">
        <v>12</v>
      </c>
    </row>
    <row r="69" spans="1:10" x14ac:dyDescent="0.35">
      <c r="A69" t="s">
        <v>84</v>
      </c>
      <c r="B69">
        <v>32</v>
      </c>
      <c r="C69" t="s">
        <v>11</v>
      </c>
      <c r="D69">
        <v>103.58</v>
      </c>
      <c r="E69">
        <v>15.12</v>
      </c>
      <c r="F69">
        <v>4</v>
      </c>
      <c r="G69">
        <v>0</v>
      </c>
      <c r="H69">
        <v>2</v>
      </c>
      <c r="I69">
        <v>1.8</v>
      </c>
      <c r="J69" t="s">
        <v>20</v>
      </c>
    </row>
    <row r="70" spans="1:10" x14ac:dyDescent="0.35">
      <c r="A70" t="s">
        <v>85</v>
      </c>
      <c r="B70">
        <v>53</v>
      </c>
      <c r="C70" t="s">
        <v>19</v>
      </c>
      <c r="D70">
        <v>105.92</v>
      </c>
      <c r="E70">
        <v>22.98</v>
      </c>
      <c r="F70">
        <v>2</v>
      </c>
      <c r="G70">
        <v>0</v>
      </c>
      <c r="H70">
        <v>0</v>
      </c>
      <c r="I70">
        <v>0.8</v>
      </c>
      <c r="J70" t="s">
        <v>27</v>
      </c>
    </row>
    <row r="71" spans="1:10" x14ac:dyDescent="0.35">
      <c r="A71" t="s">
        <v>86</v>
      </c>
      <c r="B71">
        <v>33</v>
      </c>
      <c r="C71" t="s">
        <v>19</v>
      </c>
      <c r="D71">
        <v>104.76</v>
      </c>
      <c r="E71">
        <v>13.89</v>
      </c>
      <c r="F71">
        <v>3</v>
      </c>
      <c r="G71">
        <v>4</v>
      </c>
      <c r="H71">
        <v>0</v>
      </c>
      <c r="I71">
        <v>0.5</v>
      </c>
      <c r="J71" t="s">
        <v>20</v>
      </c>
    </row>
    <row r="72" spans="1:10" x14ac:dyDescent="0.35">
      <c r="A72" t="s">
        <v>87</v>
      </c>
      <c r="B72">
        <v>49</v>
      </c>
      <c r="C72" t="s">
        <v>19</v>
      </c>
      <c r="D72">
        <v>108.22</v>
      </c>
      <c r="E72">
        <v>19.55</v>
      </c>
      <c r="F72">
        <v>1</v>
      </c>
      <c r="G72">
        <v>1</v>
      </c>
      <c r="H72">
        <v>2</v>
      </c>
      <c r="I72">
        <v>1.6</v>
      </c>
      <c r="J72" t="s">
        <v>20</v>
      </c>
    </row>
    <row r="73" spans="1:10" x14ac:dyDescent="0.35">
      <c r="A73" t="s">
        <v>88</v>
      </c>
      <c r="B73">
        <v>32</v>
      </c>
      <c r="C73" t="s">
        <v>11</v>
      </c>
      <c r="D73">
        <v>97.69</v>
      </c>
      <c r="E73">
        <v>18.04</v>
      </c>
      <c r="F73">
        <v>3</v>
      </c>
      <c r="G73">
        <v>2</v>
      </c>
      <c r="H73">
        <v>2</v>
      </c>
      <c r="I73">
        <v>2.2000000000000002</v>
      </c>
      <c r="J73" t="s">
        <v>12</v>
      </c>
    </row>
    <row r="74" spans="1:10" x14ac:dyDescent="0.35">
      <c r="A74" t="s">
        <v>89</v>
      </c>
      <c r="B74">
        <v>52</v>
      </c>
      <c r="C74" t="s">
        <v>11</v>
      </c>
      <c r="D74">
        <v>104.99</v>
      </c>
      <c r="E74">
        <v>22.77</v>
      </c>
      <c r="F74">
        <v>3</v>
      </c>
      <c r="G74">
        <v>2</v>
      </c>
      <c r="H74">
        <v>1</v>
      </c>
      <c r="I74">
        <v>1.1000000000000001</v>
      </c>
      <c r="J74" t="s">
        <v>14</v>
      </c>
    </row>
    <row r="75" spans="1:10" x14ac:dyDescent="0.35">
      <c r="A75" t="s">
        <v>90</v>
      </c>
      <c r="B75">
        <v>25</v>
      </c>
      <c r="C75" t="s">
        <v>19</v>
      </c>
      <c r="D75">
        <v>88.93</v>
      </c>
      <c r="E75">
        <v>15.5</v>
      </c>
      <c r="F75">
        <v>3</v>
      </c>
      <c r="G75">
        <v>0</v>
      </c>
      <c r="H75">
        <v>3</v>
      </c>
      <c r="I75">
        <v>3.8</v>
      </c>
      <c r="J75" t="s">
        <v>14</v>
      </c>
    </row>
    <row r="76" spans="1:10" x14ac:dyDescent="0.35">
      <c r="A76" t="s">
        <v>91</v>
      </c>
      <c r="B76">
        <v>41</v>
      </c>
      <c r="C76" t="s">
        <v>11</v>
      </c>
      <c r="D76">
        <v>105.5</v>
      </c>
      <c r="E76">
        <v>20.18</v>
      </c>
      <c r="F76">
        <v>1</v>
      </c>
      <c r="G76">
        <v>4</v>
      </c>
      <c r="H76">
        <v>3</v>
      </c>
      <c r="I76">
        <v>1.9</v>
      </c>
      <c r="J76" t="s">
        <v>24</v>
      </c>
    </row>
    <row r="77" spans="1:10" x14ac:dyDescent="0.35">
      <c r="A77" t="s">
        <v>92</v>
      </c>
      <c r="B77">
        <v>38</v>
      </c>
      <c r="C77" t="s">
        <v>19</v>
      </c>
      <c r="D77">
        <v>101.47</v>
      </c>
      <c r="E77">
        <v>15.96</v>
      </c>
      <c r="F77">
        <v>1</v>
      </c>
      <c r="G77">
        <v>1</v>
      </c>
      <c r="H77">
        <v>0</v>
      </c>
      <c r="I77">
        <v>0.8</v>
      </c>
      <c r="J77" t="s">
        <v>12</v>
      </c>
    </row>
    <row r="78" spans="1:10" x14ac:dyDescent="0.35">
      <c r="A78" t="s">
        <v>93</v>
      </c>
      <c r="B78">
        <v>46</v>
      </c>
      <c r="C78" t="s">
        <v>19</v>
      </c>
      <c r="D78">
        <v>103.84</v>
      </c>
      <c r="E78">
        <v>17.13</v>
      </c>
      <c r="F78">
        <v>0</v>
      </c>
      <c r="G78">
        <v>4</v>
      </c>
      <c r="H78">
        <v>1</v>
      </c>
      <c r="I78">
        <v>0.7</v>
      </c>
      <c r="J78" t="s">
        <v>20</v>
      </c>
    </row>
    <row r="79" spans="1:10" x14ac:dyDescent="0.35">
      <c r="A79" t="s">
        <v>94</v>
      </c>
      <c r="B79">
        <v>45</v>
      </c>
      <c r="C79" t="s">
        <v>19</v>
      </c>
      <c r="D79">
        <v>103.74</v>
      </c>
      <c r="E79">
        <v>18.21</v>
      </c>
      <c r="F79">
        <v>1</v>
      </c>
      <c r="G79">
        <v>3</v>
      </c>
      <c r="H79">
        <v>0</v>
      </c>
      <c r="I79">
        <v>0.5</v>
      </c>
      <c r="J79" t="s">
        <v>20</v>
      </c>
    </row>
    <row r="80" spans="1:10" x14ac:dyDescent="0.35">
      <c r="A80" t="s">
        <v>95</v>
      </c>
      <c r="B80">
        <v>48</v>
      </c>
      <c r="C80" t="s">
        <v>19</v>
      </c>
      <c r="D80">
        <v>101.32</v>
      </c>
      <c r="E80">
        <v>21.93</v>
      </c>
      <c r="F80">
        <v>4</v>
      </c>
      <c r="G80">
        <v>2</v>
      </c>
      <c r="H80">
        <v>2</v>
      </c>
      <c r="I80">
        <v>2.8</v>
      </c>
      <c r="J80" t="s">
        <v>14</v>
      </c>
    </row>
    <row r="81" spans="1:10" x14ac:dyDescent="0.35">
      <c r="A81" t="s">
        <v>96</v>
      </c>
      <c r="B81">
        <v>54</v>
      </c>
      <c r="C81" t="s">
        <v>11</v>
      </c>
      <c r="D81">
        <v>109.83</v>
      </c>
      <c r="E81">
        <v>21.35</v>
      </c>
      <c r="F81">
        <v>3</v>
      </c>
      <c r="G81">
        <v>2</v>
      </c>
      <c r="H81">
        <v>1</v>
      </c>
      <c r="I81">
        <v>0.7</v>
      </c>
      <c r="J81" t="s">
        <v>24</v>
      </c>
    </row>
    <row r="82" spans="1:10" x14ac:dyDescent="0.35">
      <c r="A82" t="s">
        <v>97</v>
      </c>
      <c r="B82">
        <v>49</v>
      </c>
      <c r="C82" t="s">
        <v>19</v>
      </c>
      <c r="D82">
        <v>112.98</v>
      </c>
      <c r="E82">
        <v>18.22</v>
      </c>
      <c r="F82">
        <v>3</v>
      </c>
      <c r="G82">
        <v>1</v>
      </c>
      <c r="H82">
        <v>1</v>
      </c>
      <c r="I82">
        <v>1.7</v>
      </c>
      <c r="J82" t="s">
        <v>12</v>
      </c>
    </row>
    <row r="83" spans="1:10" x14ac:dyDescent="0.35">
      <c r="A83" t="s">
        <v>98</v>
      </c>
      <c r="B83">
        <v>45</v>
      </c>
      <c r="C83" t="s">
        <v>11</v>
      </c>
      <c r="D83">
        <v>104.87</v>
      </c>
      <c r="E83">
        <v>19.66</v>
      </c>
      <c r="F83">
        <v>1</v>
      </c>
      <c r="G83">
        <v>4</v>
      </c>
      <c r="H83">
        <v>2</v>
      </c>
      <c r="I83">
        <v>1.1000000000000001</v>
      </c>
      <c r="J83" t="s">
        <v>27</v>
      </c>
    </row>
    <row r="84" spans="1:10" x14ac:dyDescent="0.35">
      <c r="A84" t="s">
        <v>99</v>
      </c>
      <c r="B84">
        <v>30</v>
      </c>
      <c r="C84" t="s">
        <v>19</v>
      </c>
      <c r="D84">
        <v>100.81</v>
      </c>
      <c r="E84">
        <v>14.39</v>
      </c>
      <c r="F84">
        <v>2</v>
      </c>
      <c r="G84">
        <v>4</v>
      </c>
      <c r="H84">
        <v>2</v>
      </c>
      <c r="I84">
        <v>2.6</v>
      </c>
      <c r="J84" t="s">
        <v>12</v>
      </c>
    </row>
    <row r="85" spans="1:10" x14ac:dyDescent="0.35">
      <c r="A85" t="s">
        <v>100</v>
      </c>
      <c r="B85">
        <v>29</v>
      </c>
      <c r="C85" t="s">
        <v>11</v>
      </c>
      <c r="D85">
        <v>101.16</v>
      </c>
      <c r="E85">
        <v>14.14</v>
      </c>
      <c r="F85">
        <v>2</v>
      </c>
      <c r="G85">
        <v>2</v>
      </c>
      <c r="H85">
        <v>3</v>
      </c>
      <c r="I85">
        <v>1.3</v>
      </c>
      <c r="J85" t="s">
        <v>12</v>
      </c>
    </row>
    <row r="86" spans="1:10" x14ac:dyDescent="0.35">
      <c r="A86" t="s">
        <v>101</v>
      </c>
      <c r="B86">
        <v>57</v>
      </c>
      <c r="C86" t="s">
        <v>11</v>
      </c>
      <c r="D86">
        <v>115.19</v>
      </c>
      <c r="E86">
        <v>20.76</v>
      </c>
      <c r="F86">
        <v>1</v>
      </c>
      <c r="G86">
        <v>4</v>
      </c>
      <c r="H86">
        <v>0</v>
      </c>
      <c r="I86">
        <v>1</v>
      </c>
      <c r="J86" t="s">
        <v>12</v>
      </c>
    </row>
    <row r="87" spans="1:10" x14ac:dyDescent="0.35">
      <c r="A87" t="s">
        <v>102</v>
      </c>
      <c r="B87">
        <v>56</v>
      </c>
      <c r="C87" t="s">
        <v>19</v>
      </c>
      <c r="D87">
        <v>110.72</v>
      </c>
      <c r="E87">
        <v>20.149999999999999</v>
      </c>
      <c r="F87">
        <v>0</v>
      </c>
      <c r="G87">
        <v>1</v>
      </c>
      <c r="H87">
        <v>1</v>
      </c>
      <c r="I87">
        <v>2</v>
      </c>
      <c r="J87" t="s">
        <v>27</v>
      </c>
    </row>
    <row r="88" spans="1:10" x14ac:dyDescent="0.35">
      <c r="A88" t="s">
        <v>103</v>
      </c>
      <c r="B88">
        <v>56</v>
      </c>
      <c r="C88" t="s">
        <v>11</v>
      </c>
      <c r="D88">
        <v>106.73</v>
      </c>
      <c r="E88">
        <v>24.09</v>
      </c>
      <c r="F88">
        <v>0</v>
      </c>
      <c r="G88">
        <v>1</v>
      </c>
      <c r="H88">
        <v>3</v>
      </c>
      <c r="I88">
        <v>1.7</v>
      </c>
      <c r="J88" t="s">
        <v>27</v>
      </c>
    </row>
    <row r="89" spans="1:10" x14ac:dyDescent="0.35">
      <c r="A89" t="s">
        <v>104</v>
      </c>
      <c r="B89">
        <v>25</v>
      </c>
      <c r="C89" t="s">
        <v>11</v>
      </c>
      <c r="D89">
        <v>99.72</v>
      </c>
      <c r="E89">
        <v>14.9</v>
      </c>
      <c r="F89">
        <v>4</v>
      </c>
      <c r="G89">
        <v>2</v>
      </c>
      <c r="H89">
        <v>3</v>
      </c>
      <c r="I89">
        <v>2.2000000000000002</v>
      </c>
      <c r="J89" t="s">
        <v>14</v>
      </c>
    </row>
    <row r="90" spans="1:10" x14ac:dyDescent="0.35">
      <c r="A90" t="s">
        <v>105</v>
      </c>
      <c r="B90">
        <v>30</v>
      </c>
      <c r="C90" t="s">
        <v>11</v>
      </c>
      <c r="D90">
        <v>96.45</v>
      </c>
      <c r="E90">
        <v>14.77</v>
      </c>
      <c r="F90">
        <v>4</v>
      </c>
      <c r="G90">
        <v>2</v>
      </c>
      <c r="H90">
        <v>0</v>
      </c>
      <c r="I90">
        <v>0.6</v>
      </c>
      <c r="J90" t="s">
        <v>24</v>
      </c>
    </row>
    <row r="91" spans="1:10" x14ac:dyDescent="0.35">
      <c r="A91" t="s">
        <v>106</v>
      </c>
      <c r="B91">
        <v>53</v>
      </c>
      <c r="C91" t="s">
        <v>19</v>
      </c>
      <c r="D91">
        <v>106.44</v>
      </c>
      <c r="E91">
        <v>20.73</v>
      </c>
      <c r="F91">
        <v>4</v>
      </c>
      <c r="G91">
        <v>3</v>
      </c>
      <c r="H91">
        <v>2</v>
      </c>
      <c r="I91">
        <v>2</v>
      </c>
      <c r="J91" t="s">
        <v>12</v>
      </c>
    </row>
    <row r="92" spans="1:10" x14ac:dyDescent="0.35">
      <c r="A92" t="s">
        <v>107</v>
      </c>
      <c r="B92">
        <v>29</v>
      </c>
      <c r="C92" t="s">
        <v>11</v>
      </c>
      <c r="D92">
        <v>97.77</v>
      </c>
      <c r="E92">
        <v>15.72</v>
      </c>
      <c r="F92">
        <v>2</v>
      </c>
      <c r="G92">
        <v>0</v>
      </c>
      <c r="H92">
        <v>0</v>
      </c>
      <c r="I92">
        <v>0.9</v>
      </c>
      <c r="J92" t="s">
        <v>12</v>
      </c>
    </row>
    <row r="93" spans="1:10" x14ac:dyDescent="0.35">
      <c r="A93" t="s">
        <v>108</v>
      </c>
      <c r="B93">
        <v>58</v>
      </c>
      <c r="C93" t="s">
        <v>19</v>
      </c>
      <c r="D93">
        <v>113.49</v>
      </c>
      <c r="E93">
        <v>25.26</v>
      </c>
      <c r="F93">
        <v>0</v>
      </c>
      <c r="G93">
        <v>4</v>
      </c>
      <c r="H93">
        <v>3</v>
      </c>
      <c r="I93">
        <v>3</v>
      </c>
      <c r="J93" t="s">
        <v>27</v>
      </c>
    </row>
    <row r="94" spans="1:10" x14ac:dyDescent="0.35">
      <c r="A94" t="s">
        <v>109</v>
      </c>
      <c r="B94">
        <v>26</v>
      </c>
      <c r="C94" t="s">
        <v>19</v>
      </c>
      <c r="D94">
        <v>92.08</v>
      </c>
      <c r="E94">
        <v>15.29</v>
      </c>
      <c r="F94">
        <v>4</v>
      </c>
      <c r="G94">
        <v>1</v>
      </c>
      <c r="H94">
        <v>2</v>
      </c>
      <c r="I94">
        <v>2.6</v>
      </c>
      <c r="J94" t="s">
        <v>20</v>
      </c>
    </row>
    <row r="95" spans="1:10" x14ac:dyDescent="0.35">
      <c r="A95" t="s">
        <v>110</v>
      </c>
      <c r="B95">
        <v>25</v>
      </c>
      <c r="C95" t="s">
        <v>11</v>
      </c>
      <c r="D95">
        <v>96.42</v>
      </c>
      <c r="E95">
        <v>15.34</v>
      </c>
      <c r="F95">
        <v>4</v>
      </c>
      <c r="G95">
        <v>3</v>
      </c>
      <c r="H95">
        <v>2</v>
      </c>
      <c r="I95">
        <v>0.9</v>
      </c>
      <c r="J95" t="s">
        <v>20</v>
      </c>
    </row>
    <row r="96" spans="1:10" x14ac:dyDescent="0.35">
      <c r="A96" t="s">
        <v>111</v>
      </c>
      <c r="B96">
        <v>59</v>
      </c>
      <c r="C96" t="s">
        <v>11</v>
      </c>
      <c r="D96">
        <v>108.1</v>
      </c>
      <c r="E96">
        <v>19.25</v>
      </c>
      <c r="F96">
        <v>1</v>
      </c>
      <c r="G96">
        <v>0</v>
      </c>
      <c r="H96">
        <v>1</v>
      </c>
      <c r="I96">
        <v>1</v>
      </c>
      <c r="J96" t="s">
        <v>12</v>
      </c>
    </row>
    <row r="97" spans="1:10" x14ac:dyDescent="0.35">
      <c r="A97" t="s">
        <v>112</v>
      </c>
      <c r="B97">
        <v>50</v>
      </c>
      <c r="C97" t="s">
        <v>11</v>
      </c>
      <c r="D97">
        <v>109.15</v>
      </c>
      <c r="E97">
        <v>22.09</v>
      </c>
      <c r="F97">
        <v>1</v>
      </c>
      <c r="G97">
        <v>4</v>
      </c>
      <c r="H97">
        <v>0</v>
      </c>
      <c r="I97">
        <v>0.6</v>
      </c>
      <c r="J97" t="s">
        <v>14</v>
      </c>
    </row>
    <row r="98" spans="1:10" x14ac:dyDescent="0.35">
      <c r="A98" t="s">
        <v>113</v>
      </c>
      <c r="B98">
        <v>48</v>
      </c>
      <c r="C98" t="s">
        <v>19</v>
      </c>
      <c r="D98">
        <v>107.71</v>
      </c>
      <c r="E98">
        <v>19.079999999999998</v>
      </c>
      <c r="F98">
        <v>0</v>
      </c>
      <c r="G98">
        <v>2</v>
      </c>
      <c r="H98">
        <v>2</v>
      </c>
      <c r="I98">
        <v>1.8</v>
      </c>
      <c r="J98" t="s">
        <v>20</v>
      </c>
    </row>
    <row r="99" spans="1:10" x14ac:dyDescent="0.35">
      <c r="A99" t="s">
        <v>114</v>
      </c>
      <c r="B99">
        <v>57</v>
      </c>
      <c r="C99" t="s">
        <v>19</v>
      </c>
      <c r="D99">
        <v>112.41</v>
      </c>
      <c r="E99">
        <v>21.55</v>
      </c>
      <c r="F99">
        <v>2</v>
      </c>
      <c r="G99">
        <v>4</v>
      </c>
      <c r="H99">
        <v>0</v>
      </c>
      <c r="I99">
        <v>0.9</v>
      </c>
      <c r="J99" t="s">
        <v>12</v>
      </c>
    </row>
    <row r="100" spans="1:10" x14ac:dyDescent="0.35">
      <c r="A100" t="s">
        <v>115</v>
      </c>
      <c r="B100">
        <v>45</v>
      </c>
      <c r="C100" t="s">
        <v>19</v>
      </c>
      <c r="D100">
        <v>110.12</v>
      </c>
      <c r="E100">
        <v>18.510000000000002</v>
      </c>
      <c r="F100">
        <v>0</v>
      </c>
      <c r="G100">
        <v>2</v>
      </c>
      <c r="H100">
        <v>0</v>
      </c>
      <c r="I100">
        <v>0.9</v>
      </c>
      <c r="J100" t="s">
        <v>24</v>
      </c>
    </row>
    <row r="101" spans="1:10" x14ac:dyDescent="0.35">
      <c r="A101" t="s">
        <v>116</v>
      </c>
      <c r="B101">
        <v>49</v>
      </c>
      <c r="C101" t="s">
        <v>19</v>
      </c>
      <c r="D101">
        <v>106.6</v>
      </c>
      <c r="E101">
        <v>21.21</v>
      </c>
      <c r="F101">
        <v>0</v>
      </c>
      <c r="G101">
        <v>0</v>
      </c>
      <c r="H101">
        <v>2</v>
      </c>
      <c r="I101">
        <v>2.5</v>
      </c>
      <c r="J10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D43F-40FE-44E5-91D2-4E6F8CD94C3D}">
  <dimension ref="A1:B2"/>
  <sheetViews>
    <sheetView workbookViewId="0"/>
  </sheetViews>
  <sheetFormatPr defaultRowHeight="14.5" x14ac:dyDescent="0.35"/>
  <cols>
    <col min="1" max="1" width="19.36328125" bestFit="1" customWidth="1"/>
    <col min="2" max="2" width="11.81640625" bestFit="1" customWidth="1"/>
  </cols>
  <sheetData>
    <row r="1" spans="1:2" x14ac:dyDescent="0.35">
      <c r="A1" t="s">
        <v>133</v>
      </c>
      <c r="B1" t="s">
        <v>132</v>
      </c>
    </row>
    <row r="2" spans="1:2" x14ac:dyDescent="0.35">
      <c r="A2" s="15">
        <v>100</v>
      </c>
      <c r="B2" s="15">
        <v>3517.2883994333697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9425-1E60-4720-87E0-CAB55F57666A}">
  <dimension ref="A1:L102"/>
  <sheetViews>
    <sheetView tabSelected="1" topLeftCell="A2" workbookViewId="0">
      <selection activeCell="G11" sqref="G11"/>
    </sheetView>
  </sheetViews>
  <sheetFormatPr defaultRowHeight="14.5" x14ac:dyDescent="0.35"/>
  <cols>
    <col min="1" max="1" width="9.08984375" bestFit="1" customWidth="1"/>
    <col min="2" max="2" width="13.7265625" bestFit="1" customWidth="1"/>
    <col min="3" max="3" width="9.26953125" bestFit="1" customWidth="1"/>
    <col min="4" max="5" width="12" bestFit="1" customWidth="1"/>
    <col min="6" max="6" width="20.08984375" bestFit="1" customWidth="1"/>
    <col min="7" max="7" width="21.6328125" bestFit="1" customWidth="1"/>
    <col min="8" max="8" width="19.36328125" bestFit="1" customWidth="1"/>
    <col min="9" max="9" width="18.81640625" bestFit="1" customWidth="1"/>
    <col min="11" max="11" width="11.81640625" bestFit="1" customWidth="1"/>
    <col min="12" max="12" width="14.81640625" style="2" bestFit="1" customWidth="1"/>
  </cols>
  <sheetData>
    <row r="1" spans="1:12" x14ac:dyDescent="0.35">
      <c r="A1" s="4" t="s">
        <v>0</v>
      </c>
      <c r="B1" s="5" t="s">
        <v>1</v>
      </c>
      <c r="C1" s="5" t="s">
        <v>2</v>
      </c>
      <c r="D1" s="5" t="s">
        <v>3</v>
      </c>
      <c r="E1" s="5" t="s">
        <v>4</v>
      </c>
      <c r="F1" s="5" t="s">
        <v>5</v>
      </c>
      <c r="G1" s="5" t="s">
        <v>6</v>
      </c>
      <c r="H1" s="5" t="s">
        <v>7</v>
      </c>
      <c r="I1" s="5" t="s">
        <v>8</v>
      </c>
      <c r="J1" s="5" t="s">
        <v>9</v>
      </c>
      <c r="K1" s="5" t="s">
        <v>117</v>
      </c>
      <c r="L1" s="6" t="s">
        <v>118</v>
      </c>
    </row>
    <row r="2" spans="1:12" x14ac:dyDescent="0.35">
      <c r="A2" s="7" t="s">
        <v>10</v>
      </c>
      <c r="B2" s="1">
        <v>47</v>
      </c>
      <c r="C2" s="1" t="s">
        <v>11</v>
      </c>
      <c r="D2" s="1">
        <v>104.41</v>
      </c>
      <c r="E2" s="1">
        <v>17.34</v>
      </c>
      <c r="F2" s="1">
        <v>1</v>
      </c>
      <c r="G2" s="1">
        <v>2</v>
      </c>
      <c r="H2" s="1">
        <v>3</v>
      </c>
      <c r="I2" s="1">
        <v>1.2</v>
      </c>
      <c r="J2" s="1" t="s">
        <v>12</v>
      </c>
      <c r="K2" s="1">
        <f>E2/(D2/100)*2</f>
        <v>33.215209271142612</v>
      </c>
      <c r="L2" s="8" t="str">
        <f>IF(Cleaned_data!$K2&lt;18.5,"underweight", IF(Cleaned_data!$K2&lt;=24.9,"Healthy Weight", IF(Cleaned_data!$K2&lt;=29.9,"Overweight",IF(Cleaned_data!$K2&gt;=30,"obese"))))</f>
        <v>obese</v>
      </c>
    </row>
    <row r="3" spans="1:12" x14ac:dyDescent="0.35">
      <c r="A3" s="7" t="s">
        <v>13</v>
      </c>
      <c r="B3" s="1">
        <v>34</v>
      </c>
      <c r="C3" s="1" t="s">
        <v>11</v>
      </c>
      <c r="D3" s="1">
        <v>99.08</v>
      </c>
      <c r="E3" s="1">
        <v>16.21</v>
      </c>
      <c r="F3" s="1">
        <v>0</v>
      </c>
      <c r="G3" s="1">
        <v>1</v>
      </c>
      <c r="H3" s="1">
        <v>1</v>
      </c>
      <c r="I3" s="1">
        <v>1.4</v>
      </c>
      <c r="J3" s="1" t="s">
        <v>14</v>
      </c>
      <c r="K3" s="1">
        <f t="shared" ref="K3:K66" si="0">E3/(D3/100)*2</f>
        <v>32.721033508276143</v>
      </c>
      <c r="L3" s="8" t="str">
        <f>IF(Cleaned_data!$K3&lt;18.5,"underweight", IF(Cleaned_data!$K3&lt;=24.9,"Healthy Weight", IF(Cleaned_data!$K3&lt;=29.9,"Overweight",IF(Cleaned_data!$K3&gt;=30,"obese"))))</f>
        <v>obese</v>
      </c>
    </row>
    <row r="4" spans="1:12" x14ac:dyDescent="0.35">
      <c r="A4" s="7" t="s">
        <v>15</v>
      </c>
      <c r="B4" s="1">
        <v>35</v>
      </c>
      <c r="C4" s="1" t="s">
        <v>11</v>
      </c>
      <c r="D4" s="1">
        <v>94.96</v>
      </c>
      <c r="E4" s="1">
        <v>17.3</v>
      </c>
      <c r="F4" s="1">
        <v>3</v>
      </c>
      <c r="G4" s="1">
        <v>3</v>
      </c>
      <c r="H4" s="1">
        <v>2</v>
      </c>
      <c r="I4" s="1">
        <v>0.6</v>
      </c>
      <c r="J4" s="1" t="s">
        <v>14</v>
      </c>
      <c r="K4" s="1">
        <f t="shared" si="0"/>
        <v>36.436394271272121</v>
      </c>
      <c r="L4" s="8" t="str">
        <f>IF(Cleaned_data!$K4&lt;18.5,"underweight", IF(Cleaned_data!$K4&lt;=24.9,"Healthy Weight", IF(Cleaned_data!$K4&lt;=29.9,"Overweight",IF(Cleaned_data!$K4&gt;=30,"obese"))))</f>
        <v>obese</v>
      </c>
    </row>
    <row r="5" spans="1:12" x14ac:dyDescent="0.35">
      <c r="A5" s="7" t="s">
        <v>16</v>
      </c>
      <c r="B5" s="1">
        <v>39</v>
      </c>
      <c r="C5" s="1" t="s">
        <v>11</v>
      </c>
      <c r="D5" s="1">
        <v>100.65</v>
      </c>
      <c r="E5" s="1">
        <v>20.010000000000002</v>
      </c>
      <c r="F5" s="1">
        <v>2</v>
      </c>
      <c r="G5" s="1">
        <v>0</v>
      </c>
      <c r="H5" s="1">
        <v>1</v>
      </c>
      <c r="I5" s="1">
        <v>1.5</v>
      </c>
      <c r="J5" s="1" t="s">
        <v>14</v>
      </c>
      <c r="K5" s="1">
        <f t="shared" si="0"/>
        <v>39.76154992548436</v>
      </c>
      <c r="L5" s="8" t="str">
        <f>IF(Cleaned_data!$K5&lt;18.5,"underweight", IF(Cleaned_data!$K5&lt;=24.9,"Healthy Weight", IF(Cleaned_data!$K5&lt;=29.9,"Overweight",IF(Cleaned_data!$K5&gt;=30,"obese"))))</f>
        <v>obese</v>
      </c>
    </row>
    <row r="6" spans="1:12" x14ac:dyDescent="0.35">
      <c r="A6" s="7" t="s">
        <v>17</v>
      </c>
      <c r="B6" s="1">
        <v>26</v>
      </c>
      <c r="C6" s="1" t="s">
        <v>11</v>
      </c>
      <c r="D6" s="1">
        <v>90.06</v>
      </c>
      <c r="E6" s="1">
        <v>12.16</v>
      </c>
      <c r="F6" s="1">
        <v>0</v>
      </c>
      <c r="G6" s="1">
        <v>1</v>
      </c>
      <c r="H6" s="1">
        <v>0</v>
      </c>
      <c r="I6" s="1">
        <v>0.9</v>
      </c>
      <c r="J6" s="1" t="s">
        <v>12</v>
      </c>
      <c r="K6" s="1">
        <f t="shared" si="0"/>
        <v>27.004219409282697</v>
      </c>
      <c r="L6" s="8" t="str">
        <f>IF(Cleaned_data!$K6&lt;18.5,"underweight", IF(Cleaned_data!$K6&lt;=24.9,"Healthy Weight", IF(Cleaned_data!$K6&lt;=29.9,"Overweight",IF(Cleaned_data!$K6&gt;=30,"obese"))))</f>
        <v>Overweight</v>
      </c>
    </row>
    <row r="7" spans="1:12" x14ac:dyDescent="0.35">
      <c r="A7" s="7" t="s">
        <v>18</v>
      </c>
      <c r="B7" s="1">
        <v>51</v>
      </c>
      <c r="C7" s="1" t="s">
        <v>19</v>
      </c>
      <c r="D7" s="1">
        <v>108.82</v>
      </c>
      <c r="E7" s="1">
        <v>21.54</v>
      </c>
      <c r="F7" s="1">
        <v>0</v>
      </c>
      <c r="G7" s="1">
        <v>1</v>
      </c>
      <c r="H7" s="1">
        <v>1</v>
      </c>
      <c r="I7" s="1">
        <v>0.9</v>
      </c>
      <c r="J7" s="1" t="s">
        <v>20</v>
      </c>
      <c r="K7" s="1">
        <f t="shared" si="0"/>
        <v>39.588310972247754</v>
      </c>
      <c r="L7" s="8" t="str">
        <f>IF(Cleaned_data!$K7&lt;18.5,"underweight", IF(Cleaned_data!$K7&lt;=24.9,"Healthy Weight", IF(Cleaned_data!$K7&lt;=29.9,"Overweight",IF(Cleaned_data!$K7&gt;=30,"obese"))))</f>
        <v>obese</v>
      </c>
    </row>
    <row r="8" spans="1:12" x14ac:dyDescent="0.35">
      <c r="A8" s="7" t="s">
        <v>21</v>
      </c>
      <c r="B8" s="1">
        <v>52</v>
      </c>
      <c r="C8" s="1" t="s">
        <v>19</v>
      </c>
      <c r="D8" s="1">
        <v>110.28</v>
      </c>
      <c r="E8" s="1">
        <v>21.49</v>
      </c>
      <c r="F8" s="1">
        <v>4</v>
      </c>
      <c r="G8" s="1">
        <v>0</v>
      </c>
      <c r="H8" s="1">
        <v>2</v>
      </c>
      <c r="I8" s="1">
        <v>2.8</v>
      </c>
      <c r="J8" s="1" t="s">
        <v>12</v>
      </c>
      <c r="K8" s="1">
        <f t="shared" si="0"/>
        <v>38.973521944142178</v>
      </c>
      <c r="L8" s="8" t="str">
        <f>IF(Cleaned_data!$K8&lt;18.5,"underweight", IF(Cleaned_data!$K8&lt;=24.9,"Healthy Weight", IF(Cleaned_data!$K8&lt;=29.9,"Overweight",IF(Cleaned_data!$K8&gt;=30,"obese"))))</f>
        <v>obese</v>
      </c>
    </row>
    <row r="9" spans="1:12" x14ac:dyDescent="0.35">
      <c r="A9" s="7" t="s">
        <v>22</v>
      </c>
      <c r="B9" s="1">
        <v>52</v>
      </c>
      <c r="C9" s="1" t="s">
        <v>11</v>
      </c>
      <c r="D9" s="1">
        <v>102.65</v>
      </c>
      <c r="E9" s="1">
        <v>19.55</v>
      </c>
      <c r="F9" s="1">
        <v>2</v>
      </c>
      <c r="G9" s="1">
        <v>2</v>
      </c>
      <c r="H9" s="1">
        <v>1</v>
      </c>
      <c r="I9" s="1">
        <v>1.3</v>
      </c>
      <c r="J9" s="1" t="s">
        <v>14</v>
      </c>
      <c r="K9" s="1">
        <f t="shared" si="0"/>
        <v>38.090599123234291</v>
      </c>
      <c r="L9" s="8" t="str">
        <f>IF(Cleaned_data!$K9&lt;18.5,"underweight", IF(Cleaned_data!$K9&lt;=24.9,"Healthy Weight", IF(Cleaned_data!$K9&lt;=29.9,"Overweight",IF(Cleaned_data!$K9&gt;=30,"obese"))))</f>
        <v>obese</v>
      </c>
    </row>
    <row r="10" spans="1:12" x14ac:dyDescent="0.35">
      <c r="A10" s="7" t="s">
        <v>23</v>
      </c>
      <c r="B10" s="1">
        <v>28</v>
      </c>
      <c r="C10" s="1" t="s">
        <v>19</v>
      </c>
      <c r="D10" s="1">
        <v>91.47</v>
      </c>
      <c r="E10" s="1">
        <v>16.39</v>
      </c>
      <c r="F10" s="1">
        <v>3</v>
      </c>
      <c r="G10" s="1">
        <v>2</v>
      </c>
      <c r="H10" s="1">
        <v>3</v>
      </c>
      <c r="I10" s="1">
        <v>0.8</v>
      </c>
      <c r="J10" s="1" t="s">
        <v>24</v>
      </c>
      <c r="K10" s="1">
        <f t="shared" si="0"/>
        <v>35.836886410845089</v>
      </c>
      <c r="L10" s="8" t="str">
        <f>IF(Cleaned_data!$K10&lt;18.5,"underweight", IF(Cleaned_data!$K10&lt;=24.9,"Healthy Weight", IF(Cleaned_data!$K10&lt;=29.9,"Overweight",IF(Cleaned_data!$K10&gt;=30,"obese"))))</f>
        <v>obese</v>
      </c>
    </row>
    <row r="11" spans="1:12" x14ac:dyDescent="0.35">
      <c r="A11" s="7" t="s">
        <v>25</v>
      </c>
      <c r="B11" s="1">
        <v>44</v>
      </c>
      <c r="C11" s="1" t="s">
        <v>11</v>
      </c>
      <c r="D11" s="1">
        <v>111.89</v>
      </c>
      <c r="E11" s="1">
        <v>17.95</v>
      </c>
      <c r="F11" s="1">
        <v>1</v>
      </c>
      <c r="G11" s="1">
        <v>3</v>
      </c>
      <c r="H11" s="1">
        <v>0</v>
      </c>
      <c r="I11" s="1">
        <v>0.8</v>
      </c>
      <c r="J11" s="1" t="s">
        <v>14</v>
      </c>
      <c r="K11" s="1">
        <f t="shared" si="0"/>
        <v>32.085083564214855</v>
      </c>
      <c r="L11" s="8" t="str">
        <f>IF(Cleaned_data!$K11&lt;18.5,"underweight", IF(Cleaned_data!$K11&lt;=24.9,"Healthy Weight", IF(Cleaned_data!$K11&lt;=29.9,"Overweight",IF(Cleaned_data!$K11&gt;=30,"obese"))))</f>
        <v>obese</v>
      </c>
    </row>
    <row r="12" spans="1:12" x14ac:dyDescent="0.35">
      <c r="A12" s="7" t="s">
        <v>26</v>
      </c>
      <c r="B12" s="1">
        <v>25</v>
      </c>
      <c r="C12" s="1" t="s">
        <v>19</v>
      </c>
      <c r="D12" s="1">
        <v>96.25</v>
      </c>
      <c r="E12" s="1">
        <v>13.5</v>
      </c>
      <c r="F12" s="1">
        <v>3</v>
      </c>
      <c r="G12" s="1">
        <v>4</v>
      </c>
      <c r="H12" s="1">
        <v>0</v>
      </c>
      <c r="I12" s="1">
        <v>0.6</v>
      </c>
      <c r="J12" s="1" t="s">
        <v>27</v>
      </c>
      <c r="K12" s="1">
        <f t="shared" si="0"/>
        <v>28.051948051948052</v>
      </c>
      <c r="L12" s="8" t="str">
        <f>IF(Cleaned_data!$K12&lt;18.5,"underweight", IF(Cleaned_data!$K12&lt;=24.9,"Healthy Weight", IF(Cleaned_data!$K12&lt;=29.9,"Overweight",IF(Cleaned_data!$K12&gt;=30,"obese"))))</f>
        <v>Overweight</v>
      </c>
    </row>
    <row r="13" spans="1:12" x14ac:dyDescent="0.35">
      <c r="A13" s="7" t="s">
        <v>28</v>
      </c>
      <c r="B13" s="1">
        <v>32</v>
      </c>
      <c r="C13" s="1" t="s">
        <v>11</v>
      </c>
      <c r="D13" s="1">
        <v>96.02</v>
      </c>
      <c r="E13" s="1">
        <v>16.55</v>
      </c>
      <c r="F13" s="1">
        <v>2</v>
      </c>
      <c r="G13" s="1">
        <v>0</v>
      </c>
      <c r="H13" s="1">
        <v>2</v>
      </c>
      <c r="I13" s="1">
        <v>1</v>
      </c>
      <c r="J13" s="1" t="s">
        <v>24</v>
      </c>
      <c r="K13" s="1">
        <f t="shared" si="0"/>
        <v>34.471985003124352</v>
      </c>
      <c r="L13" s="8" t="str">
        <f>IF(Cleaned_data!$K13&lt;18.5,"underweight", IF(Cleaned_data!$K13&lt;=24.9,"Healthy Weight", IF(Cleaned_data!$K13&lt;=29.9,"Overweight",IF(Cleaned_data!$K13&gt;=30,"obese"))))</f>
        <v>obese</v>
      </c>
    </row>
    <row r="14" spans="1:12" x14ac:dyDescent="0.35">
      <c r="A14" s="7" t="s">
        <v>29</v>
      </c>
      <c r="B14" s="1">
        <v>34</v>
      </c>
      <c r="C14" s="1" t="s">
        <v>19</v>
      </c>
      <c r="D14" s="1">
        <v>97.37</v>
      </c>
      <c r="E14" s="1">
        <v>15.55</v>
      </c>
      <c r="F14" s="1">
        <v>0</v>
      </c>
      <c r="G14" s="1">
        <v>1</v>
      </c>
      <c r="H14" s="1">
        <v>2</v>
      </c>
      <c r="I14" s="1">
        <v>1.3</v>
      </c>
      <c r="J14" s="1" t="s">
        <v>20</v>
      </c>
      <c r="K14" s="1">
        <f t="shared" si="0"/>
        <v>31.940022594228203</v>
      </c>
      <c r="L14" s="8" t="str">
        <f>IF(Cleaned_data!$K14&lt;18.5,"underweight", IF(Cleaned_data!$K14&lt;=24.9,"Healthy Weight", IF(Cleaned_data!$K14&lt;=29.9,"Overweight",IF(Cleaned_data!$K14&gt;=30,"obese"))))</f>
        <v>obese</v>
      </c>
    </row>
    <row r="15" spans="1:12" x14ac:dyDescent="0.35">
      <c r="A15" s="7" t="s">
        <v>30</v>
      </c>
      <c r="B15" s="1">
        <v>49</v>
      </c>
      <c r="C15" s="1" t="s">
        <v>19</v>
      </c>
      <c r="D15" s="1">
        <v>108.39</v>
      </c>
      <c r="E15" s="1">
        <v>20.100000000000001</v>
      </c>
      <c r="F15" s="1">
        <v>0</v>
      </c>
      <c r="G15" s="1">
        <v>2</v>
      </c>
      <c r="H15" s="1">
        <v>3</v>
      </c>
      <c r="I15" s="1">
        <v>0.6</v>
      </c>
      <c r="J15" s="1" t="s">
        <v>20</v>
      </c>
      <c r="K15" s="1">
        <f t="shared" si="0"/>
        <v>37.088292277885415</v>
      </c>
      <c r="L15" s="8" t="str">
        <f>IF(Cleaned_data!$K15&lt;18.5,"underweight", IF(Cleaned_data!$K15&lt;=24.9,"Healthy Weight", IF(Cleaned_data!$K15&lt;=29.9,"Overweight",IF(Cleaned_data!$K15&gt;=30,"obese"))))</f>
        <v>obese</v>
      </c>
    </row>
    <row r="16" spans="1:12" x14ac:dyDescent="0.35">
      <c r="A16" s="7" t="s">
        <v>31</v>
      </c>
      <c r="B16" s="1">
        <v>25</v>
      </c>
      <c r="C16" s="1" t="s">
        <v>19</v>
      </c>
      <c r="D16" s="1">
        <v>92.58</v>
      </c>
      <c r="E16" s="1">
        <v>15.13</v>
      </c>
      <c r="F16" s="1">
        <v>2</v>
      </c>
      <c r="G16" s="1">
        <v>2</v>
      </c>
      <c r="H16" s="1">
        <v>2</v>
      </c>
      <c r="I16" s="1">
        <v>1.6</v>
      </c>
      <c r="J16" s="1" t="s">
        <v>14</v>
      </c>
      <c r="K16" s="1">
        <f t="shared" si="0"/>
        <v>32.685245193346297</v>
      </c>
      <c r="L16" s="8" t="str">
        <f>IF(Cleaned_data!$K16&lt;18.5,"underweight", IF(Cleaned_data!$K16&lt;=24.9,"Healthy Weight", IF(Cleaned_data!$K16&lt;=29.9,"Overweight",IF(Cleaned_data!$K16&gt;=30,"obese"))))</f>
        <v>obese</v>
      </c>
    </row>
    <row r="17" spans="1:12" x14ac:dyDescent="0.35">
      <c r="A17" s="7" t="s">
        <v>32</v>
      </c>
      <c r="B17" s="1">
        <v>38</v>
      </c>
      <c r="C17" s="1" t="s">
        <v>19</v>
      </c>
      <c r="D17" s="1">
        <v>99.65</v>
      </c>
      <c r="E17" s="1">
        <v>16.940000000000001</v>
      </c>
      <c r="F17" s="1">
        <v>1</v>
      </c>
      <c r="G17" s="1">
        <v>3</v>
      </c>
      <c r="H17" s="1">
        <v>3</v>
      </c>
      <c r="I17" s="1">
        <v>2.1</v>
      </c>
      <c r="J17" s="1" t="s">
        <v>14</v>
      </c>
      <c r="K17" s="1">
        <f t="shared" si="0"/>
        <v>33.998996487706975</v>
      </c>
      <c r="L17" s="8" t="str">
        <f>IF(Cleaned_data!$K17&lt;18.5,"underweight", IF(Cleaned_data!$K17&lt;=24.9,"Healthy Weight", IF(Cleaned_data!$K17&lt;=29.9,"Overweight",IF(Cleaned_data!$K17&gt;=30,"obese"))))</f>
        <v>obese</v>
      </c>
    </row>
    <row r="18" spans="1:12" x14ac:dyDescent="0.35">
      <c r="A18" s="7" t="s">
        <v>33</v>
      </c>
      <c r="B18" s="1">
        <v>38</v>
      </c>
      <c r="C18" s="1" t="s">
        <v>11</v>
      </c>
      <c r="D18" s="1">
        <v>98.91</v>
      </c>
      <c r="E18" s="1">
        <v>19.489999999999998</v>
      </c>
      <c r="F18" s="1">
        <v>0</v>
      </c>
      <c r="G18" s="1">
        <v>0</v>
      </c>
      <c r="H18" s="1">
        <v>3</v>
      </c>
      <c r="I18" s="1">
        <v>3.1</v>
      </c>
      <c r="J18" s="1" t="s">
        <v>14</v>
      </c>
      <c r="K18" s="1">
        <f t="shared" si="0"/>
        <v>39.409564250328579</v>
      </c>
      <c r="L18" s="8" t="str">
        <f>IF(Cleaned_data!$K18&lt;18.5,"underweight", IF(Cleaned_data!$K18&lt;=24.9,"Healthy Weight", IF(Cleaned_data!$K18&lt;=29.9,"Overweight",IF(Cleaned_data!$K18&gt;=30,"obese"))))</f>
        <v>obese</v>
      </c>
    </row>
    <row r="19" spans="1:12" x14ac:dyDescent="0.35">
      <c r="A19" s="7" t="s">
        <v>34</v>
      </c>
      <c r="B19" s="1">
        <v>25</v>
      </c>
      <c r="C19" s="1" t="s">
        <v>11</v>
      </c>
      <c r="D19" s="1">
        <v>96.42</v>
      </c>
      <c r="E19" s="1">
        <v>14.69</v>
      </c>
      <c r="F19" s="1">
        <v>1</v>
      </c>
      <c r="G19" s="1">
        <v>3</v>
      </c>
      <c r="H19" s="1">
        <v>2</v>
      </c>
      <c r="I19" s="1">
        <v>1.2</v>
      </c>
      <c r="J19" s="1" t="s">
        <v>24</v>
      </c>
      <c r="K19" s="1">
        <f t="shared" si="0"/>
        <v>30.470856668740922</v>
      </c>
      <c r="L19" s="8" t="str">
        <f>IF(Cleaned_data!$K19&lt;18.5,"underweight", IF(Cleaned_data!$K19&lt;=24.9,"Healthy Weight", IF(Cleaned_data!$K19&lt;=29.9,"Overweight",IF(Cleaned_data!$K19&gt;=30,"obese"))))</f>
        <v>obese</v>
      </c>
    </row>
    <row r="20" spans="1:12" x14ac:dyDescent="0.35">
      <c r="A20" s="7" t="s">
        <v>35</v>
      </c>
      <c r="B20" s="1">
        <v>57</v>
      </c>
      <c r="C20" s="1" t="s">
        <v>11</v>
      </c>
      <c r="D20" s="1">
        <v>109.26</v>
      </c>
      <c r="E20" s="1">
        <v>20.61</v>
      </c>
      <c r="F20" s="1">
        <v>3</v>
      </c>
      <c r="G20" s="1">
        <v>2</v>
      </c>
      <c r="H20" s="1">
        <v>1</v>
      </c>
      <c r="I20" s="1">
        <v>2</v>
      </c>
      <c r="J20" s="1" t="s">
        <v>20</v>
      </c>
      <c r="K20" s="1">
        <f t="shared" si="0"/>
        <v>37.726523887973642</v>
      </c>
      <c r="L20" s="8" t="str">
        <f>IF(Cleaned_data!$K20&lt;18.5,"underweight", IF(Cleaned_data!$K20&lt;=24.9,"Healthy Weight", IF(Cleaned_data!$K20&lt;=29.9,"Overweight",IF(Cleaned_data!$K20&gt;=30,"obese"))))</f>
        <v>obese</v>
      </c>
    </row>
    <row r="21" spans="1:12" x14ac:dyDescent="0.35">
      <c r="A21" s="7" t="s">
        <v>36</v>
      </c>
      <c r="B21" s="1">
        <v>34</v>
      </c>
      <c r="C21" s="1" t="s">
        <v>19</v>
      </c>
      <c r="D21" s="1">
        <v>98.22</v>
      </c>
      <c r="E21" s="1">
        <v>15.49</v>
      </c>
      <c r="F21" s="1">
        <v>1</v>
      </c>
      <c r="G21" s="1">
        <v>2</v>
      </c>
      <c r="H21" s="1">
        <v>0</v>
      </c>
      <c r="I21" s="1">
        <v>0.8</v>
      </c>
      <c r="J21" s="1" t="s">
        <v>14</v>
      </c>
      <c r="K21" s="1">
        <f t="shared" si="0"/>
        <v>31.541437589085728</v>
      </c>
      <c r="L21" s="8" t="str">
        <f>IF(Cleaned_data!$K21&lt;18.5,"underweight", IF(Cleaned_data!$K21&lt;=24.9,"Healthy Weight", IF(Cleaned_data!$K21&lt;=29.9,"Overweight",IF(Cleaned_data!$K21&gt;=30,"obese"))))</f>
        <v>obese</v>
      </c>
    </row>
    <row r="22" spans="1:12" x14ac:dyDescent="0.35">
      <c r="A22" s="7" t="s">
        <v>37</v>
      </c>
      <c r="B22" s="1">
        <v>35</v>
      </c>
      <c r="C22" s="1" t="s">
        <v>11</v>
      </c>
      <c r="D22" s="1">
        <v>101.02</v>
      </c>
      <c r="E22" s="1">
        <v>16.760000000000002</v>
      </c>
      <c r="F22" s="1">
        <v>3</v>
      </c>
      <c r="G22" s="1">
        <v>2</v>
      </c>
      <c r="H22" s="1">
        <v>2</v>
      </c>
      <c r="I22" s="1">
        <v>1.9</v>
      </c>
      <c r="J22" s="1" t="s">
        <v>12</v>
      </c>
      <c r="K22" s="1">
        <f t="shared" si="0"/>
        <v>33.181548208275593</v>
      </c>
      <c r="L22" s="8" t="str">
        <f>IF(Cleaned_data!$K22&lt;18.5,"underweight", IF(Cleaned_data!$K22&lt;=24.9,"Healthy Weight", IF(Cleaned_data!$K22&lt;=29.9,"Overweight",IF(Cleaned_data!$K22&gt;=30,"obese"))))</f>
        <v>obese</v>
      </c>
    </row>
    <row r="23" spans="1:12" x14ac:dyDescent="0.35">
      <c r="A23" s="7" t="s">
        <v>38</v>
      </c>
      <c r="B23" s="1">
        <v>56</v>
      </c>
      <c r="C23" s="1" t="s">
        <v>19</v>
      </c>
      <c r="D23" s="1">
        <v>111.44</v>
      </c>
      <c r="E23" s="1">
        <v>21.87</v>
      </c>
      <c r="F23" s="1">
        <v>4</v>
      </c>
      <c r="G23" s="1">
        <v>1</v>
      </c>
      <c r="H23" s="1">
        <v>2</v>
      </c>
      <c r="I23" s="1">
        <v>1.9</v>
      </c>
      <c r="J23" s="1" t="s">
        <v>20</v>
      </c>
      <c r="K23" s="1">
        <f t="shared" si="0"/>
        <v>39.249820531227563</v>
      </c>
      <c r="L23" s="8" t="str">
        <f>IF(Cleaned_data!$K23&lt;18.5,"underweight", IF(Cleaned_data!$K23&lt;=24.9,"Healthy Weight", IF(Cleaned_data!$K23&lt;=29.9,"Overweight",IF(Cleaned_data!$K23&gt;=30,"obese"))))</f>
        <v>obese</v>
      </c>
    </row>
    <row r="24" spans="1:12" x14ac:dyDescent="0.35">
      <c r="A24" s="7" t="s">
        <v>39</v>
      </c>
      <c r="B24" s="1">
        <v>46</v>
      </c>
      <c r="C24" s="1" t="s">
        <v>19</v>
      </c>
      <c r="D24" s="1">
        <v>103.85</v>
      </c>
      <c r="E24" s="1">
        <v>19.47</v>
      </c>
      <c r="F24" s="1">
        <v>2</v>
      </c>
      <c r="G24" s="1">
        <v>4</v>
      </c>
      <c r="H24" s="1">
        <v>3</v>
      </c>
      <c r="I24" s="1">
        <v>2.9</v>
      </c>
      <c r="J24" s="1" t="s">
        <v>20</v>
      </c>
      <c r="K24" s="1">
        <f t="shared" si="0"/>
        <v>37.49638902262879</v>
      </c>
      <c r="L24" s="8" t="str">
        <f>IF(Cleaned_data!$K24&lt;18.5,"underweight", IF(Cleaned_data!$K24&lt;=24.9,"Healthy Weight", IF(Cleaned_data!$K24&lt;=29.9,"Overweight",IF(Cleaned_data!$K24&gt;=30,"obese"))))</f>
        <v>obese</v>
      </c>
    </row>
    <row r="25" spans="1:12" x14ac:dyDescent="0.35">
      <c r="A25" s="7" t="s">
        <v>40</v>
      </c>
      <c r="B25" s="1">
        <v>35</v>
      </c>
      <c r="C25" s="1" t="s">
        <v>11</v>
      </c>
      <c r="D25" s="1">
        <v>102.67</v>
      </c>
      <c r="E25" s="1">
        <v>13.79</v>
      </c>
      <c r="F25" s="1">
        <v>4</v>
      </c>
      <c r="G25" s="1">
        <v>1</v>
      </c>
      <c r="H25" s="1">
        <v>1</v>
      </c>
      <c r="I25" s="1">
        <v>2</v>
      </c>
      <c r="J25" s="1" t="s">
        <v>14</v>
      </c>
      <c r="K25" s="1">
        <f t="shared" si="0"/>
        <v>26.862764195967664</v>
      </c>
      <c r="L25" s="8" t="str">
        <f>IF(Cleaned_data!$K25&lt;18.5,"underweight", IF(Cleaned_data!$K25&lt;=24.9,"Healthy Weight", IF(Cleaned_data!$K25&lt;=29.9,"Overweight",IF(Cleaned_data!$K25&gt;=30,"obese"))))</f>
        <v>Overweight</v>
      </c>
    </row>
    <row r="26" spans="1:12" x14ac:dyDescent="0.35">
      <c r="A26" s="7" t="s">
        <v>41</v>
      </c>
      <c r="B26" s="1">
        <v>52</v>
      </c>
      <c r="C26" s="1" t="s">
        <v>19</v>
      </c>
      <c r="D26" s="1">
        <v>107.91</v>
      </c>
      <c r="E26" s="1">
        <v>19.27</v>
      </c>
      <c r="F26" s="1">
        <v>4</v>
      </c>
      <c r="G26" s="1">
        <v>0</v>
      </c>
      <c r="H26" s="1">
        <v>0</v>
      </c>
      <c r="I26" s="1">
        <v>0.8</v>
      </c>
      <c r="J26" s="1" t="s">
        <v>20</v>
      </c>
      <c r="K26" s="1">
        <f t="shared" si="0"/>
        <v>35.714947641553145</v>
      </c>
      <c r="L26" s="8" t="str">
        <f>IF(Cleaned_data!$K26&lt;18.5,"underweight", IF(Cleaned_data!$K26&lt;=24.9,"Healthy Weight", IF(Cleaned_data!$K26&lt;=29.9,"Overweight",IF(Cleaned_data!$K26&gt;=30,"obese"))))</f>
        <v>obese</v>
      </c>
    </row>
    <row r="27" spans="1:12" x14ac:dyDescent="0.35">
      <c r="A27" s="7" t="s">
        <v>42</v>
      </c>
      <c r="B27" s="1">
        <v>30</v>
      </c>
      <c r="C27" s="1" t="s">
        <v>11</v>
      </c>
      <c r="D27" s="1">
        <v>96.67</v>
      </c>
      <c r="E27" s="1">
        <v>15.72</v>
      </c>
      <c r="F27" s="1">
        <v>3</v>
      </c>
      <c r="G27" s="1">
        <v>1</v>
      </c>
      <c r="H27" s="1">
        <v>2</v>
      </c>
      <c r="I27" s="1">
        <v>1.2</v>
      </c>
      <c r="J27" s="1" t="s">
        <v>24</v>
      </c>
      <c r="K27" s="1">
        <f t="shared" si="0"/>
        <v>32.523016447708699</v>
      </c>
      <c r="L27" s="8" t="str">
        <f>IF(Cleaned_data!$K27&lt;18.5,"underweight", IF(Cleaned_data!$K27&lt;=24.9,"Healthy Weight", IF(Cleaned_data!$K27&lt;=29.9,"Overweight",IF(Cleaned_data!$K27&gt;=30,"obese"))))</f>
        <v>obese</v>
      </c>
    </row>
    <row r="28" spans="1:12" x14ac:dyDescent="0.35">
      <c r="A28" s="7" t="s">
        <v>43</v>
      </c>
      <c r="B28" s="1">
        <v>35</v>
      </c>
      <c r="C28" s="1" t="s">
        <v>19</v>
      </c>
      <c r="D28" s="1">
        <v>101.41</v>
      </c>
      <c r="E28" s="1">
        <v>19.45</v>
      </c>
      <c r="F28" s="1">
        <v>0</v>
      </c>
      <c r="G28" s="1">
        <v>4</v>
      </c>
      <c r="H28" s="1">
        <v>2</v>
      </c>
      <c r="I28" s="1">
        <v>1.9</v>
      </c>
      <c r="J28" s="1" t="s">
        <v>12</v>
      </c>
      <c r="K28" s="1">
        <f t="shared" si="0"/>
        <v>38.359136179863917</v>
      </c>
      <c r="L28" s="8" t="str">
        <f>IF(Cleaned_data!$K28&lt;18.5,"underweight", IF(Cleaned_data!$K28&lt;=24.9,"Healthy Weight", IF(Cleaned_data!$K28&lt;=29.9,"Overweight",IF(Cleaned_data!$K28&gt;=30,"obese"))))</f>
        <v>obese</v>
      </c>
    </row>
    <row r="29" spans="1:12" x14ac:dyDescent="0.35">
      <c r="A29" s="7" t="s">
        <v>44</v>
      </c>
      <c r="B29" s="1">
        <v>32</v>
      </c>
      <c r="C29" s="1" t="s">
        <v>11</v>
      </c>
      <c r="D29" s="1">
        <v>102.28</v>
      </c>
      <c r="E29" s="1">
        <v>11.75</v>
      </c>
      <c r="F29" s="1">
        <v>2</v>
      </c>
      <c r="G29" s="1">
        <v>1</v>
      </c>
      <c r="H29" s="1">
        <v>1</v>
      </c>
      <c r="I29" s="1">
        <v>1.3</v>
      </c>
      <c r="J29" s="1" t="s">
        <v>20</v>
      </c>
      <c r="K29" s="1">
        <f t="shared" si="0"/>
        <v>22.976143918654675</v>
      </c>
      <c r="L29" s="8" t="str">
        <f>IF(Cleaned_data!$K29&lt;18.5,"underweight", IF(Cleaned_data!$K29&lt;=24.9,"Healthy Weight", IF(Cleaned_data!$K29&lt;=29.9,"Overweight",IF(Cleaned_data!$K29&gt;=30,"obese"))))</f>
        <v>Healthy Weight</v>
      </c>
    </row>
    <row r="30" spans="1:12" x14ac:dyDescent="0.35">
      <c r="A30" s="7" t="s">
        <v>45</v>
      </c>
      <c r="B30" s="1">
        <v>46</v>
      </c>
      <c r="C30" s="1" t="s">
        <v>19</v>
      </c>
      <c r="D30" s="1">
        <v>105.06</v>
      </c>
      <c r="E30" s="1">
        <v>17.260000000000002</v>
      </c>
      <c r="F30" s="1">
        <v>4</v>
      </c>
      <c r="G30" s="1">
        <v>1</v>
      </c>
      <c r="H30" s="1">
        <v>2</v>
      </c>
      <c r="I30" s="1">
        <v>0.8</v>
      </c>
      <c r="J30" s="1" t="s">
        <v>14</v>
      </c>
      <c r="K30" s="1">
        <f t="shared" si="0"/>
        <v>32.85741481058443</v>
      </c>
      <c r="L30" s="8" t="str">
        <f>IF(Cleaned_data!$K30&lt;18.5,"underweight", IF(Cleaned_data!$K30&lt;=24.9,"Healthy Weight", IF(Cleaned_data!$K30&lt;=29.9,"Overweight",IF(Cleaned_data!$K30&gt;=30,"obese"))))</f>
        <v>obese</v>
      </c>
    </row>
    <row r="31" spans="1:12" x14ac:dyDescent="0.35">
      <c r="A31" s="7" t="s">
        <v>46</v>
      </c>
      <c r="B31" s="1">
        <v>43</v>
      </c>
      <c r="C31" s="1" t="s">
        <v>19</v>
      </c>
      <c r="D31" s="1">
        <v>103.22</v>
      </c>
      <c r="E31" s="1">
        <v>20.74</v>
      </c>
      <c r="F31" s="1">
        <v>2</v>
      </c>
      <c r="G31" s="1">
        <v>2</v>
      </c>
      <c r="H31" s="1">
        <v>3</v>
      </c>
      <c r="I31" s="1">
        <v>2.1</v>
      </c>
      <c r="J31" s="1" t="s">
        <v>12</v>
      </c>
      <c r="K31" s="1">
        <f t="shared" si="0"/>
        <v>40.186010463088543</v>
      </c>
      <c r="L31" s="8" t="str">
        <f>IF(Cleaned_data!$K31&lt;18.5,"underweight", IF(Cleaned_data!$K31&lt;=24.9,"Healthy Weight", IF(Cleaned_data!$K31&lt;=29.9,"Overweight",IF(Cleaned_data!$K31&gt;=30,"obese"))))</f>
        <v>obese</v>
      </c>
    </row>
    <row r="32" spans="1:12" x14ac:dyDescent="0.35">
      <c r="A32" s="7" t="s">
        <v>47</v>
      </c>
      <c r="B32" s="1">
        <v>46</v>
      </c>
      <c r="C32" s="1" t="s">
        <v>11</v>
      </c>
      <c r="D32" s="1">
        <v>105.42</v>
      </c>
      <c r="E32" s="1">
        <v>20.23</v>
      </c>
      <c r="F32" s="1">
        <v>4</v>
      </c>
      <c r="G32" s="1">
        <v>0</v>
      </c>
      <c r="H32" s="1">
        <v>2</v>
      </c>
      <c r="I32" s="1">
        <v>2.2999999999999998</v>
      </c>
      <c r="J32" s="1" t="s">
        <v>27</v>
      </c>
      <c r="K32" s="1">
        <f t="shared" si="0"/>
        <v>38.37981407702523</v>
      </c>
      <c r="L32" s="8" t="str">
        <f>IF(Cleaned_data!$K32&lt;18.5,"underweight", IF(Cleaned_data!$K32&lt;=24.9,"Healthy Weight", IF(Cleaned_data!$K32&lt;=29.9,"Overweight",IF(Cleaned_data!$K32&gt;=30,"obese"))))</f>
        <v>obese</v>
      </c>
    </row>
    <row r="33" spans="1:12" x14ac:dyDescent="0.35">
      <c r="A33" s="7" t="s">
        <v>48</v>
      </c>
      <c r="B33" s="1">
        <v>32</v>
      </c>
      <c r="C33" s="1" t="s">
        <v>19</v>
      </c>
      <c r="D33" s="1">
        <v>97.29</v>
      </c>
      <c r="E33" s="1">
        <v>12.89</v>
      </c>
      <c r="F33" s="1">
        <v>4</v>
      </c>
      <c r="G33" s="1">
        <v>2</v>
      </c>
      <c r="H33" s="1">
        <v>2</v>
      </c>
      <c r="I33" s="1">
        <v>1.3</v>
      </c>
      <c r="J33" s="1" t="s">
        <v>14</v>
      </c>
      <c r="K33" s="1">
        <f t="shared" si="0"/>
        <v>26.498098468496245</v>
      </c>
      <c r="L33" s="8" t="str">
        <f>IF(Cleaned_data!$K33&lt;18.5,"underweight", IF(Cleaned_data!$K33&lt;=24.9,"Healthy Weight", IF(Cleaned_data!$K33&lt;=29.9,"Overweight",IF(Cleaned_data!$K33&gt;=30,"obese"))))</f>
        <v>Overweight</v>
      </c>
    </row>
    <row r="34" spans="1:12" x14ac:dyDescent="0.35">
      <c r="A34" s="7" t="s">
        <v>49</v>
      </c>
      <c r="B34" s="1">
        <v>46</v>
      </c>
      <c r="C34" s="1" t="s">
        <v>19</v>
      </c>
      <c r="D34" s="1">
        <v>106.22</v>
      </c>
      <c r="E34" s="1">
        <v>19.48</v>
      </c>
      <c r="F34" s="1">
        <v>4</v>
      </c>
      <c r="G34" s="1">
        <v>3</v>
      </c>
      <c r="H34" s="1">
        <v>0</v>
      </c>
      <c r="I34" s="1">
        <v>0.7</v>
      </c>
      <c r="J34" s="1" t="s">
        <v>12</v>
      </c>
      <c r="K34" s="1">
        <f t="shared" si="0"/>
        <v>36.678591602334777</v>
      </c>
      <c r="L34" s="8" t="str">
        <f>IF(Cleaned_data!$K34&lt;18.5,"underweight", IF(Cleaned_data!$K34&lt;=24.9,"Healthy Weight", IF(Cleaned_data!$K34&lt;=29.9,"Overweight",IF(Cleaned_data!$K34&gt;=30,"obese"))))</f>
        <v>obese</v>
      </c>
    </row>
    <row r="35" spans="1:12" x14ac:dyDescent="0.35">
      <c r="A35" s="7" t="s">
        <v>50</v>
      </c>
      <c r="B35" s="1">
        <v>56</v>
      </c>
      <c r="C35" s="1" t="s">
        <v>11</v>
      </c>
      <c r="D35" s="1">
        <v>114.63</v>
      </c>
      <c r="E35" s="1">
        <v>20.11</v>
      </c>
      <c r="F35" s="1">
        <v>2</v>
      </c>
      <c r="G35" s="1">
        <v>1</v>
      </c>
      <c r="H35" s="1">
        <v>0</v>
      </c>
      <c r="I35" s="1">
        <v>0.8</v>
      </c>
      <c r="J35" s="1" t="s">
        <v>27</v>
      </c>
      <c r="K35" s="1">
        <f t="shared" si="0"/>
        <v>35.086801011951501</v>
      </c>
      <c r="L35" s="8" t="str">
        <f>IF(Cleaned_data!$K35&lt;18.5,"underweight", IF(Cleaned_data!$K35&lt;=24.9,"Healthy Weight", IF(Cleaned_data!$K35&lt;=29.9,"Overweight",IF(Cleaned_data!$K35&gt;=30,"obese"))))</f>
        <v>obese</v>
      </c>
    </row>
    <row r="36" spans="1:12" x14ac:dyDescent="0.35">
      <c r="A36" s="7" t="s">
        <v>51</v>
      </c>
      <c r="B36" s="1">
        <v>30</v>
      </c>
      <c r="C36" s="1" t="s">
        <v>11</v>
      </c>
      <c r="D36" s="1">
        <v>93.15</v>
      </c>
      <c r="E36" s="1">
        <v>14.24</v>
      </c>
      <c r="F36" s="1">
        <v>1</v>
      </c>
      <c r="G36" s="1">
        <v>1</v>
      </c>
      <c r="H36" s="1">
        <v>2</v>
      </c>
      <c r="I36" s="1">
        <v>1.3</v>
      </c>
      <c r="J36" s="1" t="s">
        <v>14</v>
      </c>
      <c r="K36" s="1">
        <f t="shared" si="0"/>
        <v>30.574342458400427</v>
      </c>
      <c r="L36" s="8" t="str">
        <f>IF(Cleaned_data!$K36&lt;18.5,"underweight", IF(Cleaned_data!$K36&lt;=24.9,"Healthy Weight", IF(Cleaned_data!$K36&lt;=29.9,"Overweight",IF(Cleaned_data!$K36&gt;=30,"obese"))))</f>
        <v>obese</v>
      </c>
    </row>
    <row r="37" spans="1:12" x14ac:dyDescent="0.35">
      <c r="A37" s="7" t="s">
        <v>52</v>
      </c>
      <c r="B37" s="1">
        <v>44</v>
      </c>
      <c r="C37" s="1" t="s">
        <v>11</v>
      </c>
      <c r="D37" s="1">
        <v>102.36</v>
      </c>
      <c r="E37" s="1">
        <v>19.600000000000001</v>
      </c>
      <c r="F37" s="1">
        <v>1</v>
      </c>
      <c r="G37" s="1">
        <v>2</v>
      </c>
      <c r="H37" s="1">
        <v>0</v>
      </c>
      <c r="I37" s="1">
        <v>0.9</v>
      </c>
      <c r="J37" s="1" t="s">
        <v>27</v>
      </c>
      <c r="K37" s="1">
        <f t="shared" si="0"/>
        <v>38.296209456819071</v>
      </c>
      <c r="L37" s="8" t="str">
        <f>IF(Cleaned_data!$K37&lt;18.5,"underweight", IF(Cleaned_data!$K37&lt;=24.9,"Healthy Weight", IF(Cleaned_data!$K37&lt;=29.9,"Overweight",IF(Cleaned_data!$K37&gt;=30,"obese"))))</f>
        <v>obese</v>
      </c>
    </row>
    <row r="38" spans="1:12" x14ac:dyDescent="0.35">
      <c r="A38" s="7" t="s">
        <v>53</v>
      </c>
      <c r="B38" s="1">
        <v>43</v>
      </c>
      <c r="C38" s="1" t="s">
        <v>11</v>
      </c>
      <c r="D38" s="1">
        <v>105.34</v>
      </c>
      <c r="E38" s="1">
        <v>14.14</v>
      </c>
      <c r="F38" s="1">
        <v>4</v>
      </c>
      <c r="G38" s="1">
        <v>3</v>
      </c>
      <c r="H38" s="1">
        <v>0</v>
      </c>
      <c r="I38" s="1">
        <v>0.8</v>
      </c>
      <c r="J38" s="1" t="s">
        <v>20</v>
      </c>
      <c r="K38" s="1">
        <f t="shared" si="0"/>
        <v>26.846402126447693</v>
      </c>
      <c r="L38" s="8" t="str">
        <f>IF(Cleaned_data!$K38&lt;18.5,"underweight", IF(Cleaned_data!$K38&lt;=24.9,"Healthy Weight", IF(Cleaned_data!$K38&lt;=29.9,"Overweight",IF(Cleaned_data!$K38&gt;=30,"obese"))))</f>
        <v>Overweight</v>
      </c>
    </row>
    <row r="39" spans="1:12" x14ac:dyDescent="0.35">
      <c r="A39" s="7" t="s">
        <v>54</v>
      </c>
      <c r="B39" s="1">
        <v>31</v>
      </c>
      <c r="C39" s="1" t="s">
        <v>11</v>
      </c>
      <c r="D39" s="1">
        <v>96.26</v>
      </c>
      <c r="E39" s="1">
        <v>17.63</v>
      </c>
      <c r="F39" s="1">
        <v>3</v>
      </c>
      <c r="G39" s="1">
        <v>3</v>
      </c>
      <c r="H39" s="1">
        <v>2</v>
      </c>
      <c r="I39" s="1">
        <v>1.7</v>
      </c>
      <c r="J39" s="1" t="s">
        <v>20</v>
      </c>
      <c r="K39" s="1">
        <f t="shared" si="0"/>
        <v>36.629960523581964</v>
      </c>
      <c r="L39" s="8" t="str">
        <f>IF(Cleaned_data!$K39&lt;18.5,"underweight", IF(Cleaned_data!$K39&lt;=24.9,"Healthy Weight", IF(Cleaned_data!$K39&lt;=29.9,"Overweight",IF(Cleaned_data!$K39&gt;=30,"obese"))))</f>
        <v>obese</v>
      </c>
    </row>
    <row r="40" spans="1:12" x14ac:dyDescent="0.35">
      <c r="A40" s="7" t="s">
        <v>55</v>
      </c>
      <c r="B40" s="1">
        <v>28</v>
      </c>
      <c r="C40" s="1" t="s">
        <v>19</v>
      </c>
      <c r="D40" s="1">
        <v>97.25</v>
      </c>
      <c r="E40" s="1">
        <v>14.98</v>
      </c>
      <c r="F40" s="1">
        <v>3</v>
      </c>
      <c r="G40" s="1">
        <v>4</v>
      </c>
      <c r="H40" s="1">
        <v>3</v>
      </c>
      <c r="I40" s="1">
        <v>3.2</v>
      </c>
      <c r="J40" s="1" t="s">
        <v>14</v>
      </c>
      <c r="K40" s="1">
        <f t="shared" si="0"/>
        <v>30.807197943444731</v>
      </c>
      <c r="L40" s="8" t="str">
        <f>IF(Cleaned_data!$K40&lt;18.5,"underweight", IF(Cleaned_data!$K40&lt;=24.9,"Healthy Weight", IF(Cleaned_data!$K40&lt;=29.9,"Overweight",IF(Cleaned_data!$K40&gt;=30,"obese"))))</f>
        <v>obese</v>
      </c>
    </row>
    <row r="41" spans="1:12" x14ac:dyDescent="0.35">
      <c r="A41" s="7" t="s">
        <v>56</v>
      </c>
      <c r="B41" s="1">
        <v>48</v>
      </c>
      <c r="C41" s="1" t="s">
        <v>19</v>
      </c>
      <c r="D41" s="1">
        <v>108.23</v>
      </c>
      <c r="E41" s="1">
        <v>21</v>
      </c>
      <c r="F41" s="1">
        <v>3</v>
      </c>
      <c r="G41" s="1">
        <v>4</v>
      </c>
      <c r="H41" s="1">
        <v>0</v>
      </c>
      <c r="I41" s="1">
        <v>0.6</v>
      </c>
      <c r="J41" s="1" t="s">
        <v>14</v>
      </c>
      <c r="K41" s="1">
        <f t="shared" si="0"/>
        <v>38.806245957682712</v>
      </c>
      <c r="L41" s="8" t="str">
        <f>IF(Cleaned_data!$K41&lt;18.5,"underweight", IF(Cleaned_data!$K41&lt;=24.9,"Healthy Weight", IF(Cleaned_data!$K41&lt;=29.9,"Overweight",IF(Cleaned_data!$K41&gt;=30,"obese"))))</f>
        <v>obese</v>
      </c>
    </row>
    <row r="42" spans="1:12" x14ac:dyDescent="0.35">
      <c r="A42" s="7" t="s">
        <v>57</v>
      </c>
      <c r="B42" s="1">
        <v>27</v>
      </c>
      <c r="C42" s="1" t="s">
        <v>19</v>
      </c>
      <c r="D42" s="1">
        <v>97</v>
      </c>
      <c r="E42" s="1">
        <v>15.12</v>
      </c>
      <c r="F42" s="1">
        <v>4</v>
      </c>
      <c r="G42" s="1">
        <v>0</v>
      </c>
      <c r="H42" s="1">
        <v>1</v>
      </c>
      <c r="I42" s="1">
        <v>1.7</v>
      </c>
      <c r="J42" s="1" t="s">
        <v>24</v>
      </c>
      <c r="K42" s="1">
        <f t="shared" si="0"/>
        <v>31.175257731958762</v>
      </c>
      <c r="L42" s="8" t="str">
        <f>IF(Cleaned_data!$K42&lt;18.5,"underweight", IF(Cleaned_data!$K42&lt;=24.9,"Healthy Weight", IF(Cleaned_data!$K42&lt;=29.9,"Overweight",IF(Cleaned_data!$K42&gt;=30,"obese"))))</f>
        <v>obese</v>
      </c>
    </row>
    <row r="43" spans="1:12" x14ac:dyDescent="0.35">
      <c r="A43" s="7" t="s">
        <v>58</v>
      </c>
      <c r="B43" s="1">
        <v>45</v>
      </c>
      <c r="C43" s="1" t="s">
        <v>19</v>
      </c>
      <c r="D43" s="1">
        <v>107.27</v>
      </c>
      <c r="E43" s="1">
        <v>22.7</v>
      </c>
      <c r="F43" s="1">
        <v>4</v>
      </c>
      <c r="G43" s="1">
        <v>0</v>
      </c>
      <c r="H43" s="1">
        <v>0</v>
      </c>
      <c r="I43" s="1">
        <v>0.8</v>
      </c>
      <c r="J43" s="1" t="s">
        <v>12</v>
      </c>
      <c r="K43" s="1">
        <f t="shared" si="0"/>
        <v>42.323109909573972</v>
      </c>
      <c r="L43" s="8" t="str">
        <f>IF(Cleaned_data!$K43&lt;18.5,"underweight", IF(Cleaned_data!$K43&lt;=24.9,"Healthy Weight", IF(Cleaned_data!$K43&lt;=29.9,"Overweight",IF(Cleaned_data!$K43&gt;=30,"obese"))))</f>
        <v>obese</v>
      </c>
    </row>
    <row r="44" spans="1:12" x14ac:dyDescent="0.35">
      <c r="A44" s="7" t="s">
        <v>59</v>
      </c>
      <c r="B44" s="1">
        <v>54</v>
      </c>
      <c r="C44" s="1" t="s">
        <v>19</v>
      </c>
      <c r="D44" s="1">
        <v>112.46</v>
      </c>
      <c r="E44" s="1">
        <v>21.36</v>
      </c>
      <c r="F44" s="1">
        <v>2</v>
      </c>
      <c r="G44" s="1">
        <v>0</v>
      </c>
      <c r="H44" s="1">
        <v>1</v>
      </c>
      <c r="I44" s="1">
        <v>1</v>
      </c>
      <c r="J44" s="1" t="s">
        <v>14</v>
      </c>
      <c r="K44" s="1">
        <f t="shared" si="0"/>
        <v>37.986839765249862</v>
      </c>
      <c r="L44" s="8" t="str">
        <f>IF(Cleaned_data!$K44&lt;18.5,"underweight", IF(Cleaned_data!$K44&lt;=24.9,"Healthy Weight", IF(Cleaned_data!$K44&lt;=29.9,"Overweight",IF(Cleaned_data!$K44&gt;=30,"obese"))))</f>
        <v>obese</v>
      </c>
    </row>
    <row r="45" spans="1:12" x14ac:dyDescent="0.35">
      <c r="A45" s="7" t="s">
        <v>60</v>
      </c>
      <c r="B45" s="1">
        <v>40</v>
      </c>
      <c r="C45" s="1" t="s">
        <v>19</v>
      </c>
      <c r="D45" s="1">
        <v>103.32</v>
      </c>
      <c r="E45" s="1">
        <v>17.41</v>
      </c>
      <c r="F45" s="1">
        <v>1</v>
      </c>
      <c r="G45" s="1">
        <v>0</v>
      </c>
      <c r="H45" s="1">
        <v>2</v>
      </c>
      <c r="I45" s="1">
        <v>2</v>
      </c>
      <c r="J45" s="1" t="s">
        <v>20</v>
      </c>
      <c r="K45" s="1">
        <f t="shared" si="0"/>
        <v>33.701122725512974</v>
      </c>
      <c r="L45" s="8" t="str">
        <f>IF(Cleaned_data!$K45&lt;18.5,"underweight", IF(Cleaned_data!$K45&lt;=24.9,"Healthy Weight", IF(Cleaned_data!$K45&lt;=29.9,"Overweight",IF(Cleaned_data!$K45&gt;=30,"obese"))))</f>
        <v>obese</v>
      </c>
    </row>
    <row r="46" spans="1:12" x14ac:dyDescent="0.35">
      <c r="A46" s="7" t="s">
        <v>61</v>
      </c>
      <c r="B46" s="1">
        <v>52</v>
      </c>
      <c r="C46" s="1" t="s">
        <v>11</v>
      </c>
      <c r="D46" s="1">
        <v>107.31</v>
      </c>
      <c r="E46" s="1">
        <v>17.34</v>
      </c>
      <c r="F46" s="1">
        <v>1</v>
      </c>
      <c r="G46" s="1">
        <v>3</v>
      </c>
      <c r="H46" s="1">
        <v>0</v>
      </c>
      <c r="I46" s="1">
        <v>0.5</v>
      </c>
      <c r="J46" s="1" t="s">
        <v>24</v>
      </c>
      <c r="K46" s="1">
        <f t="shared" si="0"/>
        <v>32.317584568073805</v>
      </c>
      <c r="L46" s="8" t="str">
        <f>IF(Cleaned_data!$K46&lt;18.5,"underweight", IF(Cleaned_data!$K46&lt;=24.9,"Healthy Weight", IF(Cleaned_data!$K46&lt;=29.9,"Overweight",IF(Cleaned_data!$K46&gt;=30,"obese"))))</f>
        <v>obese</v>
      </c>
    </row>
    <row r="47" spans="1:12" x14ac:dyDescent="0.35">
      <c r="A47" s="7" t="s">
        <v>62</v>
      </c>
      <c r="B47" s="1">
        <v>34</v>
      </c>
      <c r="C47" s="1" t="s">
        <v>19</v>
      </c>
      <c r="D47" s="1">
        <v>99.12</v>
      </c>
      <c r="E47" s="1">
        <v>17.43</v>
      </c>
      <c r="F47" s="1">
        <v>3</v>
      </c>
      <c r="G47" s="1">
        <v>4</v>
      </c>
      <c r="H47" s="1">
        <v>3</v>
      </c>
      <c r="I47" s="1">
        <v>1.6</v>
      </c>
      <c r="J47" s="1" t="s">
        <v>12</v>
      </c>
      <c r="K47" s="1">
        <f t="shared" si="0"/>
        <v>35.169491525423723</v>
      </c>
      <c r="L47" s="8" t="str">
        <f>IF(Cleaned_data!$K47&lt;18.5,"underweight", IF(Cleaned_data!$K47&lt;=24.9,"Healthy Weight", IF(Cleaned_data!$K47&lt;=29.9,"Overweight",IF(Cleaned_data!$K47&gt;=30,"obese"))))</f>
        <v>obese</v>
      </c>
    </row>
    <row r="48" spans="1:12" x14ac:dyDescent="0.35">
      <c r="A48" s="7" t="s">
        <v>63</v>
      </c>
      <c r="B48" s="1">
        <v>27</v>
      </c>
      <c r="C48" s="1" t="s">
        <v>19</v>
      </c>
      <c r="D48" s="1">
        <v>93.16</v>
      </c>
      <c r="E48" s="1">
        <v>15.53</v>
      </c>
      <c r="F48" s="1">
        <v>2</v>
      </c>
      <c r="G48" s="1">
        <v>2</v>
      </c>
      <c r="H48" s="1">
        <v>0</v>
      </c>
      <c r="I48" s="1">
        <v>0.8</v>
      </c>
      <c r="J48" s="1" t="s">
        <v>14</v>
      </c>
      <c r="K48" s="1">
        <f t="shared" si="0"/>
        <v>33.340489480463717</v>
      </c>
      <c r="L48" s="8" t="str">
        <f>IF(Cleaned_data!$K48&lt;18.5,"underweight", IF(Cleaned_data!$K48&lt;=24.9,"Healthy Weight", IF(Cleaned_data!$K48&lt;=29.9,"Overweight",IF(Cleaned_data!$K48&gt;=30,"obese"))))</f>
        <v>obese</v>
      </c>
    </row>
    <row r="49" spans="1:12" x14ac:dyDescent="0.35">
      <c r="A49" s="7" t="s">
        <v>64</v>
      </c>
      <c r="B49" s="1">
        <v>55</v>
      </c>
      <c r="C49" s="1" t="s">
        <v>19</v>
      </c>
      <c r="D49" s="1">
        <v>111.49</v>
      </c>
      <c r="E49" s="1">
        <v>20.23</v>
      </c>
      <c r="F49" s="1">
        <v>1</v>
      </c>
      <c r="G49" s="1">
        <v>0</v>
      </c>
      <c r="H49" s="1">
        <v>1</v>
      </c>
      <c r="I49" s="1">
        <v>1.6</v>
      </c>
      <c r="J49" s="1" t="s">
        <v>24</v>
      </c>
      <c r="K49" s="1">
        <f t="shared" si="0"/>
        <v>36.290250246658893</v>
      </c>
      <c r="L49" s="8" t="str">
        <f>IF(Cleaned_data!$K49&lt;18.5,"underweight", IF(Cleaned_data!$K49&lt;=24.9,"Healthy Weight", IF(Cleaned_data!$K49&lt;=29.9,"Overweight",IF(Cleaned_data!$K49&gt;=30,"obese"))))</f>
        <v>obese</v>
      </c>
    </row>
    <row r="50" spans="1:12" x14ac:dyDescent="0.35">
      <c r="A50" s="7" t="s">
        <v>65</v>
      </c>
      <c r="B50" s="1">
        <v>42</v>
      </c>
      <c r="C50" s="1" t="s">
        <v>11</v>
      </c>
      <c r="D50" s="1">
        <v>108.71</v>
      </c>
      <c r="E50" s="1">
        <v>16.2</v>
      </c>
      <c r="F50" s="1">
        <v>2</v>
      </c>
      <c r="G50" s="1">
        <v>1</v>
      </c>
      <c r="H50" s="1">
        <v>3</v>
      </c>
      <c r="I50" s="1">
        <v>1.1000000000000001</v>
      </c>
      <c r="J50" s="1" t="s">
        <v>24</v>
      </c>
      <c r="K50" s="1">
        <f t="shared" si="0"/>
        <v>29.804065863306043</v>
      </c>
      <c r="L50" s="8" t="str">
        <f>IF(Cleaned_data!$K50&lt;18.5,"underweight", IF(Cleaned_data!$K50&lt;=24.9,"Healthy Weight", IF(Cleaned_data!$K50&lt;=29.9,"Overweight",IF(Cleaned_data!$K50&gt;=30,"obese"))))</f>
        <v>Overweight</v>
      </c>
    </row>
    <row r="51" spans="1:12" x14ac:dyDescent="0.35">
      <c r="A51" s="7" t="s">
        <v>66</v>
      </c>
      <c r="B51" s="1">
        <v>36</v>
      </c>
      <c r="C51" s="1" t="s">
        <v>11</v>
      </c>
      <c r="D51" s="1">
        <v>97.21</v>
      </c>
      <c r="E51" s="1">
        <v>13.41</v>
      </c>
      <c r="F51" s="1">
        <v>4</v>
      </c>
      <c r="G51" s="1">
        <v>3</v>
      </c>
      <c r="H51" s="1">
        <v>1</v>
      </c>
      <c r="I51" s="1">
        <v>0.9</v>
      </c>
      <c r="J51" s="1" t="s">
        <v>14</v>
      </c>
      <c r="K51" s="1">
        <f t="shared" si="0"/>
        <v>27.589754140520522</v>
      </c>
      <c r="L51" s="8" t="str">
        <f>IF(Cleaned_data!$K51&lt;18.5,"underweight", IF(Cleaned_data!$K51&lt;=24.9,"Healthy Weight", IF(Cleaned_data!$K51&lt;=29.9,"Overweight",IF(Cleaned_data!$K51&gt;=30,"obese"))))</f>
        <v>Overweight</v>
      </c>
    </row>
    <row r="52" spans="1:12" x14ac:dyDescent="0.35">
      <c r="A52" s="7" t="s">
        <v>67</v>
      </c>
      <c r="B52" s="1">
        <v>34</v>
      </c>
      <c r="C52" s="1" t="s">
        <v>11</v>
      </c>
      <c r="D52" s="1">
        <v>98.46</v>
      </c>
      <c r="E52" s="1">
        <v>15.38</v>
      </c>
      <c r="F52" s="1">
        <v>3</v>
      </c>
      <c r="G52" s="1">
        <v>2</v>
      </c>
      <c r="H52" s="1">
        <v>2</v>
      </c>
      <c r="I52" s="1">
        <v>1.2</v>
      </c>
      <c r="J52" s="1" t="s">
        <v>12</v>
      </c>
      <c r="K52" s="1">
        <f t="shared" si="0"/>
        <v>31.241113142392855</v>
      </c>
      <c r="L52" s="8" t="str">
        <f>IF(Cleaned_data!$K52&lt;18.5,"underweight", IF(Cleaned_data!$K52&lt;=24.9,"Healthy Weight", IF(Cleaned_data!$K52&lt;=29.9,"Overweight",IF(Cleaned_data!$K52&gt;=30,"obese"))))</f>
        <v>obese</v>
      </c>
    </row>
    <row r="53" spans="1:12" x14ac:dyDescent="0.35">
      <c r="A53" s="7" t="s">
        <v>68</v>
      </c>
      <c r="B53" s="1">
        <v>40</v>
      </c>
      <c r="C53" s="1" t="s">
        <v>11</v>
      </c>
      <c r="D53" s="1">
        <v>100.6</v>
      </c>
      <c r="E53" s="1">
        <v>17.309999999999999</v>
      </c>
      <c r="F53" s="1">
        <v>0</v>
      </c>
      <c r="G53" s="1">
        <v>3</v>
      </c>
      <c r="H53" s="1">
        <v>0</v>
      </c>
      <c r="I53" s="1">
        <v>0.6</v>
      </c>
      <c r="J53" s="1" t="s">
        <v>27</v>
      </c>
      <c r="K53" s="1">
        <f t="shared" si="0"/>
        <v>34.413518886679917</v>
      </c>
      <c r="L53" s="8" t="str">
        <f>IF(Cleaned_data!$K53&lt;18.5,"underweight", IF(Cleaned_data!$K53&lt;=24.9,"Healthy Weight", IF(Cleaned_data!$K53&lt;=29.9,"Overweight",IF(Cleaned_data!$K53&gt;=30,"obese"))))</f>
        <v>obese</v>
      </c>
    </row>
    <row r="54" spans="1:12" x14ac:dyDescent="0.35">
      <c r="A54" s="7" t="s">
        <v>69</v>
      </c>
      <c r="B54" s="1">
        <v>39</v>
      </c>
      <c r="C54" s="1" t="s">
        <v>11</v>
      </c>
      <c r="D54" s="1">
        <v>96.54</v>
      </c>
      <c r="E54" s="1">
        <v>18.239999999999998</v>
      </c>
      <c r="F54" s="1">
        <v>4</v>
      </c>
      <c r="G54" s="1">
        <v>3</v>
      </c>
      <c r="H54" s="1">
        <v>1</v>
      </c>
      <c r="I54" s="1">
        <v>1.9</v>
      </c>
      <c r="J54" s="1" t="s">
        <v>27</v>
      </c>
      <c r="K54" s="1">
        <f t="shared" si="0"/>
        <v>37.787445618396518</v>
      </c>
      <c r="L54" s="8" t="str">
        <f>IF(Cleaned_data!$K54&lt;18.5,"underweight", IF(Cleaned_data!$K54&lt;=24.9,"Healthy Weight", IF(Cleaned_data!$K54&lt;=29.9,"Overweight",IF(Cleaned_data!$K54&gt;=30,"obese"))))</f>
        <v>obese</v>
      </c>
    </row>
    <row r="55" spans="1:12" x14ac:dyDescent="0.35">
      <c r="A55" s="7" t="s">
        <v>70</v>
      </c>
      <c r="B55" s="1">
        <v>57</v>
      </c>
      <c r="C55" s="1" t="s">
        <v>19</v>
      </c>
      <c r="D55" s="1">
        <v>110.58</v>
      </c>
      <c r="E55" s="1">
        <v>21.99</v>
      </c>
      <c r="F55" s="1">
        <v>3</v>
      </c>
      <c r="G55" s="1">
        <v>0</v>
      </c>
      <c r="H55" s="1">
        <v>0</v>
      </c>
      <c r="I55" s="1">
        <v>0.9</v>
      </c>
      <c r="J55" s="1" t="s">
        <v>12</v>
      </c>
      <c r="K55" s="1">
        <f t="shared" si="0"/>
        <v>39.772110689093871</v>
      </c>
      <c r="L55" s="8" t="str">
        <f>IF(Cleaned_data!$K55&lt;18.5,"underweight", IF(Cleaned_data!$K55&lt;=24.9,"Healthy Weight", IF(Cleaned_data!$K55&lt;=29.9,"Overweight",IF(Cleaned_data!$K55&gt;=30,"obese"))))</f>
        <v>obese</v>
      </c>
    </row>
    <row r="56" spans="1:12" x14ac:dyDescent="0.35">
      <c r="A56" s="7" t="s">
        <v>71</v>
      </c>
      <c r="B56" s="1">
        <v>50</v>
      </c>
      <c r="C56" s="1" t="s">
        <v>11</v>
      </c>
      <c r="D56" s="1">
        <v>114.47</v>
      </c>
      <c r="E56" s="1">
        <v>18.010000000000002</v>
      </c>
      <c r="F56" s="1">
        <v>1</v>
      </c>
      <c r="G56" s="1">
        <v>3</v>
      </c>
      <c r="H56" s="1">
        <v>0</v>
      </c>
      <c r="I56" s="1">
        <v>0.6</v>
      </c>
      <c r="J56" s="1" t="s">
        <v>24</v>
      </c>
      <c r="K56" s="1">
        <f t="shared" si="0"/>
        <v>31.466759849742292</v>
      </c>
      <c r="L56" s="8" t="str">
        <f>IF(Cleaned_data!$K56&lt;18.5,"underweight", IF(Cleaned_data!$K56&lt;=24.9,"Healthy Weight", IF(Cleaned_data!$K56&lt;=29.9,"Overweight",IF(Cleaned_data!$K56&gt;=30,"obese"))))</f>
        <v>obese</v>
      </c>
    </row>
    <row r="57" spans="1:12" x14ac:dyDescent="0.35">
      <c r="A57" s="7" t="s">
        <v>72</v>
      </c>
      <c r="B57" s="1">
        <v>31</v>
      </c>
      <c r="C57" s="1" t="s">
        <v>11</v>
      </c>
      <c r="D57" s="1">
        <v>96.28</v>
      </c>
      <c r="E57" s="1">
        <v>16.84</v>
      </c>
      <c r="F57" s="1">
        <v>4</v>
      </c>
      <c r="G57" s="1">
        <v>2</v>
      </c>
      <c r="H57" s="1">
        <v>3</v>
      </c>
      <c r="I57" s="1">
        <v>0.5</v>
      </c>
      <c r="J57" s="1" t="s">
        <v>20</v>
      </c>
      <c r="K57" s="1">
        <f t="shared" si="0"/>
        <v>34.981304528458665</v>
      </c>
      <c r="L57" s="8" t="str">
        <f>IF(Cleaned_data!$K57&lt;18.5,"underweight", IF(Cleaned_data!$K57&lt;=24.9,"Healthy Weight", IF(Cleaned_data!$K57&lt;=29.9,"Overweight",IF(Cleaned_data!$K57&gt;=30,"obese"))))</f>
        <v>obese</v>
      </c>
    </row>
    <row r="58" spans="1:12" x14ac:dyDescent="0.35">
      <c r="A58" s="7" t="s">
        <v>73</v>
      </c>
      <c r="B58" s="1">
        <v>44</v>
      </c>
      <c r="C58" s="1" t="s">
        <v>11</v>
      </c>
      <c r="D58" s="1">
        <v>104.76</v>
      </c>
      <c r="E58" s="1">
        <v>18.399999999999999</v>
      </c>
      <c r="F58" s="1">
        <v>4</v>
      </c>
      <c r="G58" s="1">
        <v>2</v>
      </c>
      <c r="H58" s="1">
        <v>1</v>
      </c>
      <c r="I58" s="1">
        <v>0.7</v>
      </c>
      <c r="J58" s="1" t="s">
        <v>12</v>
      </c>
      <c r="K58" s="1">
        <f t="shared" si="0"/>
        <v>35.127911416571202</v>
      </c>
      <c r="L58" s="8" t="str">
        <f>IF(Cleaned_data!$K58&lt;18.5,"underweight", IF(Cleaned_data!$K58&lt;=24.9,"Healthy Weight", IF(Cleaned_data!$K58&lt;=29.9,"Overweight",IF(Cleaned_data!$K58&gt;=30,"obese"))))</f>
        <v>obese</v>
      </c>
    </row>
    <row r="59" spans="1:12" x14ac:dyDescent="0.35">
      <c r="A59" s="7" t="s">
        <v>74</v>
      </c>
      <c r="B59" s="1">
        <v>42</v>
      </c>
      <c r="C59" s="1" t="s">
        <v>19</v>
      </c>
      <c r="D59" s="1">
        <v>105.35</v>
      </c>
      <c r="E59" s="1">
        <v>19.88</v>
      </c>
      <c r="F59" s="1">
        <v>1</v>
      </c>
      <c r="G59" s="1">
        <v>2</v>
      </c>
      <c r="H59" s="1">
        <v>2</v>
      </c>
      <c r="I59" s="1">
        <v>2.8</v>
      </c>
      <c r="J59" s="1" t="s">
        <v>20</v>
      </c>
      <c r="K59" s="1">
        <f t="shared" si="0"/>
        <v>37.740863787375417</v>
      </c>
      <c r="L59" s="8" t="str">
        <f>IF(Cleaned_data!$K59&lt;18.5,"underweight", IF(Cleaned_data!$K59&lt;=24.9,"Healthy Weight", IF(Cleaned_data!$K59&lt;=29.9,"Overweight",IF(Cleaned_data!$K59&gt;=30,"obese"))))</f>
        <v>obese</v>
      </c>
    </row>
    <row r="60" spans="1:12" x14ac:dyDescent="0.35">
      <c r="A60" s="7" t="s">
        <v>75</v>
      </c>
      <c r="B60" s="1">
        <v>59</v>
      </c>
      <c r="C60" s="1" t="s">
        <v>19</v>
      </c>
      <c r="D60" s="1">
        <v>110.75</v>
      </c>
      <c r="E60" s="1">
        <v>24.56</v>
      </c>
      <c r="F60" s="1">
        <v>4</v>
      </c>
      <c r="G60" s="1">
        <v>4</v>
      </c>
      <c r="H60" s="1">
        <v>1</v>
      </c>
      <c r="I60" s="1">
        <v>1.7</v>
      </c>
      <c r="J60" s="1" t="s">
        <v>12</v>
      </c>
      <c r="K60" s="1">
        <f t="shared" si="0"/>
        <v>44.35214446952596</v>
      </c>
      <c r="L60" s="8" t="str">
        <f>IF(Cleaned_data!$K60&lt;18.5,"underweight", IF(Cleaned_data!$K60&lt;=24.9,"Healthy Weight", IF(Cleaned_data!$K60&lt;=29.9,"Overweight",IF(Cleaned_data!$K60&gt;=30,"obese"))))</f>
        <v>obese</v>
      </c>
    </row>
    <row r="61" spans="1:12" x14ac:dyDescent="0.35">
      <c r="A61" s="7" t="s">
        <v>76</v>
      </c>
      <c r="B61" s="1">
        <v>56</v>
      </c>
      <c r="C61" s="1" t="s">
        <v>19</v>
      </c>
      <c r="D61" s="1">
        <v>108</v>
      </c>
      <c r="E61" s="1">
        <v>22.24</v>
      </c>
      <c r="F61" s="1">
        <v>2</v>
      </c>
      <c r="G61" s="1">
        <v>4</v>
      </c>
      <c r="H61" s="1">
        <v>2</v>
      </c>
      <c r="I61" s="1">
        <v>1.1000000000000001</v>
      </c>
      <c r="J61" s="1" t="s">
        <v>14</v>
      </c>
      <c r="K61" s="1">
        <f t="shared" si="0"/>
        <v>41.185185185185176</v>
      </c>
      <c r="L61" s="8" t="str">
        <f>IF(Cleaned_data!$K61&lt;18.5,"underweight", IF(Cleaned_data!$K61&lt;=24.9,"Healthy Weight", IF(Cleaned_data!$K61&lt;=29.9,"Overweight",IF(Cleaned_data!$K61&gt;=30,"obese"))))</f>
        <v>obese</v>
      </c>
    </row>
    <row r="62" spans="1:12" x14ac:dyDescent="0.35">
      <c r="A62" s="7" t="s">
        <v>77</v>
      </c>
      <c r="B62" s="1">
        <v>32</v>
      </c>
      <c r="C62" s="1" t="s">
        <v>11</v>
      </c>
      <c r="D62" s="1">
        <v>98.63</v>
      </c>
      <c r="E62" s="1">
        <v>17.96</v>
      </c>
      <c r="F62" s="1">
        <v>0</v>
      </c>
      <c r="G62" s="1">
        <v>0</v>
      </c>
      <c r="H62" s="1">
        <v>2</v>
      </c>
      <c r="I62" s="1">
        <v>2.6</v>
      </c>
      <c r="J62" s="1" t="s">
        <v>24</v>
      </c>
      <c r="K62" s="1">
        <f t="shared" si="0"/>
        <v>36.418939470749265</v>
      </c>
      <c r="L62" s="8" t="str">
        <f>IF(Cleaned_data!$K62&lt;18.5,"underweight", IF(Cleaned_data!$K62&lt;=24.9,"Healthy Weight", IF(Cleaned_data!$K62&lt;=29.9,"Overweight",IF(Cleaned_data!$K62&gt;=30,"obese"))))</f>
        <v>obese</v>
      </c>
    </row>
    <row r="63" spans="1:12" x14ac:dyDescent="0.35">
      <c r="A63" s="7" t="s">
        <v>78</v>
      </c>
      <c r="B63" s="1">
        <v>47</v>
      </c>
      <c r="C63" s="1" t="s">
        <v>11</v>
      </c>
      <c r="D63" s="1">
        <v>103.57</v>
      </c>
      <c r="E63" s="1">
        <v>22.13</v>
      </c>
      <c r="F63" s="1">
        <v>3</v>
      </c>
      <c r="G63" s="1">
        <v>2</v>
      </c>
      <c r="H63" s="1">
        <v>0</v>
      </c>
      <c r="I63" s="1">
        <v>0.6</v>
      </c>
      <c r="J63" s="1" t="s">
        <v>12</v>
      </c>
      <c r="K63" s="1">
        <f t="shared" si="0"/>
        <v>42.734382543207495</v>
      </c>
      <c r="L63" s="8" t="str">
        <f>IF(Cleaned_data!$K63&lt;18.5,"underweight", IF(Cleaned_data!$K63&lt;=24.9,"Healthy Weight", IF(Cleaned_data!$K63&lt;=29.9,"Overweight",IF(Cleaned_data!$K63&gt;=30,"obese"))))</f>
        <v>obese</v>
      </c>
    </row>
    <row r="64" spans="1:12" x14ac:dyDescent="0.35">
      <c r="A64" s="7" t="s">
        <v>79</v>
      </c>
      <c r="B64" s="1">
        <v>28</v>
      </c>
      <c r="C64" s="1" t="s">
        <v>19</v>
      </c>
      <c r="D64" s="1">
        <v>92.72</v>
      </c>
      <c r="E64" s="1">
        <v>15.7</v>
      </c>
      <c r="F64" s="1">
        <v>4</v>
      </c>
      <c r="G64" s="1">
        <v>0</v>
      </c>
      <c r="H64" s="1">
        <v>1</v>
      </c>
      <c r="I64" s="1">
        <v>0.5</v>
      </c>
      <c r="J64" s="1" t="s">
        <v>24</v>
      </c>
      <c r="K64" s="1">
        <f t="shared" si="0"/>
        <v>33.865401207937872</v>
      </c>
      <c r="L64" s="8" t="str">
        <f>IF(Cleaned_data!$K64&lt;18.5,"underweight", IF(Cleaned_data!$K64&lt;=24.9,"Healthy Weight", IF(Cleaned_data!$K64&lt;=29.9,"Overweight",IF(Cleaned_data!$K64&gt;=30,"obese"))))</f>
        <v>obese</v>
      </c>
    </row>
    <row r="65" spans="1:12" x14ac:dyDescent="0.35">
      <c r="A65" s="7" t="s">
        <v>80</v>
      </c>
      <c r="B65" s="1">
        <v>56</v>
      </c>
      <c r="C65" s="1" t="s">
        <v>19</v>
      </c>
      <c r="D65" s="1">
        <v>113.3</v>
      </c>
      <c r="E65" s="1">
        <v>20.45</v>
      </c>
      <c r="F65" s="1">
        <v>2</v>
      </c>
      <c r="G65" s="1">
        <v>2</v>
      </c>
      <c r="H65" s="1">
        <v>2</v>
      </c>
      <c r="I65" s="1">
        <v>0.5</v>
      </c>
      <c r="J65" s="1" t="s">
        <v>27</v>
      </c>
      <c r="K65" s="1">
        <f t="shared" si="0"/>
        <v>36.098852603706973</v>
      </c>
      <c r="L65" s="8" t="str">
        <f>IF(Cleaned_data!$K65&lt;18.5,"underweight", IF(Cleaned_data!$K65&lt;=24.9,"Healthy Weight", IF(Cleaned_data!$K65&lt;=29.9,"Overweight",IF(Cleaned_data!$K65&gt;=30,"obese"))))</f>
        <v>obese</v>
      </c>
    </row>
    <row r="66" spans="1:12" x14ac:dyDescent="0.35">
      <c r="A66" s="7" t="s">
        <v>81</v>
      </c>
      <c r="B66" s="1">
        <v>38</v>
      </c>
      <c r="C66" s="1" t="s">
        <v>19</v>
      </c>
      <c r="D66" s="1">
        <v>104.84</v>
      </c>
      <c r="E66" s="1">
        <v>19.829999999999998</v>
      </c>
      <c r="F66" s="1">
        <v>4</v>
      </c>
      <c r="G66" s="1">
        <v>0</v>
      </c>
      <c r="H66" s="1">
        <v>0</v>
      </c>
      <c r="I66" s="1">
        <v>0.8</v>
      </c>
      <c r="J66" s="1" t="s">
        <v>24</v>
      </c>
      <c r="K66" s="1">
        <f t="shared" si="0"/>
        <v>37.829072872949254</v>
      </c>
      <c r="L66" s="8" t="str">
        <f>IF(Cleaned_data!$K66&lt;18.5,"underweight", IF(Cleaned_data!$K66&lt;=24.9,"Healthy Weight", IF(Cleaned_data!$K66&lt;=29.9,"Overweight",IF(Cleaned_data!$K66&gt;=30,"obese"))))</f>
        <v>obese</v>
      </c>
    </row>
    <row r="67" spans="1:12" x14ac:dyDescent="0.35">
      <c r="A67" s="7" t="s">
        <v>82</v>
      </c>
      <c r="B67" s="1">
        <v>50</v>
      </c>
      <c r="C67" s="1" t="s">
        <v>11</v>
      </c>
      <c r="D67" s="1">
        <v>104.56</v>
      </c>
      <c r="E67" s="1">
        <v>21.62</v>
      </c>
      <c r="F67" s="1">
        <v>4</v>
      </c>
      <c r="G67" s="1">
        <v>1</v>
      </c>
      <c r="H67" s="1">
        <v>1</v>
      </c>
      <c r="I67" s="1">
        <v>2</v>
      </c>
      <c r="J67" s="1" t="s">
        <v>12</v>
      </c>
      <c r="K67" s="1">
        <f t="shared" ref="K67:K101" si="1">E67/(D67/100)*2</f>
        <v>41.354246365723029</v>
      </c>
      <c r="L67" s="8" t="str">
        <f>IF(Cleaned_data!$K67&lt;18.5,"underweight", IF(Cleaned_data!$K67&lt;=24.9,"Healthy Weight", IF(Cleaned_data!$K67&lt;=29.9,"Overweight",IF(Cleaned_data!$K67&gt;=30,"obese"))))</f>
        <v>obese</v>
      </c>
    </row>
    <row r="68" spans="1:12" x14ac:dyDescent="0.35">
      <c r="A68" s="7" t="s">
        <v>83</v>
      </c>
      <c r="B68" s="1">
        <v>27</v>
      </c>
      <c r="C68" s="1" t="s">
        <v>19</v>
      </c>
      <c r="D68" s="1">
        <v>97.32</v>
      </c>
      <c r="E68" s="1">
        <v>16.28</v>
      </c>
      <c r="F68" s="1">
        <v>2</v>
      </c>
      <c r="G68" s="1">
        <v>4</v>
      </c>
      <c r="H68" s="1">
        <v>0</v>
      </c>
      <c r="I68" s="1">
        <v>0.8</v>
      </c>
      <c r="J68" s="1" t="s">
        <v>12</v>
      </c>
      <c r="K68" s="1">
        <f t="shared" si="1"/>
        <v>33.456637895602142</v>
      </c>
      <c r="L68" s="8" t="str">
        <f>IF(Cleaned_data!$K68&lt;18.5,"underweight", IF(Cleaned_data!$K68&lt;=24.9,"Healthy Weight", IF(Cleaned_data!$K68&lt;=29.9,"Overweight",IF(Cleaned_data!$K68&gt;=30,"obese"))))</f>
        <v>obese</v>
      </c>
    </row>
    <row r="69" spans="1:12" x14ac:dyDescent="0.35">
      <c r="A69" s="7" t="s">
        <v>84</v>
      </c>
      <c r="B69" s="1">
        <v>32</v>
      </c>
      <c r="C69" s="1" t="s">
        <v>11</v>
      </c>
      <c r="D69" s="1">
        <v>103.58</v>
      </c>
      <c r="E69" s="1">
        <v>15.12</v>
      </c>
      <c r="F69" s="1">
        <v>4</v>
      </c>
      <c r="G69" s="1">
        <v>0</v>
      </c>
      <c r="H69" s="1">
        <v>2</v>
      </c>
      <c r="I69" s="1">
        <v>1.8</v>
      </c>
      <c r="J69" s="1" t="s">
        <v>20</v>
      </c>
      <c r="K69" s="1">
        <f t="shared" si="1"/>
        <v>29.194825255840893</v>
      </c>
      <c r="L69" s="8" t="str">
        <f>IF(Cleaned_data!$K69&lt;18.5,"underweight", IF(Cleaned_data!$K69&lt;=24.9,"Healthy Weight", IF(Cleaned_data!$K69&lt;=29.9,"Overweight",IF(Cleaned_data!$K69&gt;=30,"obese"))))</f>
        <v>Overweight</v>
      </c>
    </row>
    <row r="70" spans="1:12" x14ac:dyDescent="0.35">
      <c r="A70" s="7" t="s">
        <v>85</v>
      </c>
      <c r="B70" s="1">
        <v>53</v>
      </c>
      <c r="C70" s="1" t="s">
        <v>19</v>
      </c>
      <c r="D70" s="1">
        <v>105.92</v>
      </c>
      <c r="E70" s="1">
        <v>22.98</v>
      </c>
      <c r="F70" s="1">
        <v>2</v>
      </c>
      <c r="G70" s="1">
        <v>0</v>
      </c>
      <c r="H70" s="1">
        <v>0</v>
      </c>
      <c r="I70" s="1">
        <v>0.8</v>
      </c>
      <c r="J70" s="1" t="s">
        <v>27</v>
      </c>
      <c r="K70" s="1">
        <f t="shared" si="1"/>
        <v>43.391238670694868</v>
      </c>
      <c r="L70" s="8" t="str">
        <f>IF(Cleaned_data!$K70&lt;18.5,"underweight", IF(Cleaned_data!$K70&lt;=24.9,"Healthy Weight", IF(Cleaned_data!$K70&lt;=29.9,"Overweight",IF(Cleaned_data!$K70&gt;=30,"obese"))))</f>
        <v>obese</v>
      </c>
    </row>
    <row r="71" spans="1:12" x14ac:dyDescent="0.35">
      <c r="A71" s="7" t="s">
        <v>86</v>
      </c>
      <c r="B71" s="1">
        <v>33</v>
      </c>
      <c r="C71" s="1" t="s">
        <v>19</v>
      </c>
      <c r="D71" s="1">
        <v>104.76</v>
      </c>
      <c r="E71" s="1">
        <v>13.89</v>
      </c>
      <c r="F71" s="1">
        <v>3</v>
      </c>
      <c r="G71" s="1">
        <v>4</v>
      </c>
      <c r="H71" s="1">
        <v>0</v>
      </c>
      <c r="I71" s="1">
        <v>0.5</v>
      </c>
      <c r="J71" s="1" t="s">
        <v>20</v>
      </c>
      <c r="K71" s="1">
        <f t="shared" si="1"/>
        <v>26.51775486827033</v>
      </c>
      <c r="L71" s="8" t="str">
        <f>IF(Cleaned_data!$K71&lt;18.5,"underweight", IF(Cleaned_data!$K71&lt;=24.9,"Healthy Weight", IF(Cleaned_data!$K71&lt;=29.9,"Overweight",IF(Cleaned_data!$K71&gt;=30,"obese"))))</f>
        <v>Overweight</v>
      </c>
    </row>
    <row r="72" spans="1:12" x14ac:dyDescent="0.35">
      <c r="A72" s="7" t="s">
        <v>87</v>
      </c>
      <c r="B72" s="1">
        <v>49</v>
      </c>
      <c r="C72" s="1" t="s">
        <v>19</v>
      </c>
      <c r="D72" s="1">
        <v>108.22</v>
      </c>
      <c r="E72" s="1">
        <v>19.55</v>
      </c>
      <c r="F72" s="1">
        <v>1</v>
      </c>
      <c r="G72" s="1">
        <v>1</v>
      </c>
      <c r="H72" s="1">
        <v>2</v>
      </c>
      <c r="I72" s="1">
        <v>1.6</v>
      </c>
      <c r="J72" s="1" t="s">
        <v>20</v>
      </c>
      <c r="K72" s="1">
        <f t="shared" si="1"/>
        <v>36.130105340972094</v>
      </c>
      <c r="L72" s="8" t="str">
        <f>IF(Cleaned_data!$K72&lt;18.5,"underweight", IF(Cleaned_data!$K72&lt;=24.9,"Healthy Weight", IF(Cleaned_data!$K72&lt;=29.9,"Overweight",IF(Cleaned_data!$K72&gt;=30,"obese"))))</f>
        <v>obese</v>
      </c>
    </row>
    <row r="73" spans="1:12" x14ac:dyDescent="0.35">
      <c r="A73" s="7" t="s">
        <v>88</v>
      </c>
      <c r="B73" s="1">
        <v>32</v>
      </c>
      <c r="C73" s="1" t="s">
        <v>11</v>
      </c>
      <c r="D73" s="1">
        <v>97.69</v>
      </c>
      <c r="E73" s="1">
        <v>18.04</v>
      </c>
      <c r="F73" s="1">
        <v>3</v>
      </c>
      <c r="G73" s="1">
        <v>2</v>
      </c>
      <c r="H73" s="1">
        <v>2</v>
      </c>
      <c r="I73" s="1">
        <v>2.2000000000000002</v>
      </c>
      <c r="J73" s="1" t="s">
        <v>12</v>
      </c>
      <c r="K73" s="1">
        <f t="shared" si="1"/>
        <v>36.933155901320504</v>
      </c>
      <c r="L73" s="8" t="str">
        <f>IF(Cleaned_data!$K73&lt;18.5,"underweight", IF(Cleaned_data!$K73&lt;=24.9,"Healthy Weight", IF(Cleaned_data!$K73&lt;=29.9,"Overweight",IF(Cleaned_data!$K73&gt;=30,"obese"))))</f>
        <v>obese</v>
      </c>
    </row>
    <row r="74" spans="1:12" x14ac:dyDescent="0.35">
      <c r="A74" s="7" t="s">
        <v>89</v>
      </c>
      <c r="B74" s="1">
        <v>52</v>
      </c>
      <c r="C74" s="1" t="s">
        <v>11</v>
      </c>
      <c r="D74" s="1">
        <v>104.99</v>
      </c>
      <c r="E74" s="1">
        <v>22.77</v>
      </c>
      <c r="F74" s="1">
        <v>3</v>
      </c>
      <c r="G74" s="1">
        <v>2</v>
      </c>
      <c r="H74" s="1">
        <v>1</v>
      </c>
      <c r="I74" s="1">
        <v>1.1000000000000001</v>
      </c>
      <c r="J74" s="1" t="s">
        <v>14</v>
      </c>
      <c r="K74" s="1">
        <f t="shared" si="1"/>
        <v>43.375559577102578</v>
      </c>
      <c r="L74" s="8" t="str">
        <f>IF(Cleaned_data!$K74&lt;18.5,"underweight", IF(Cleaned_data!$K74&lt;=24.9,"Healthy Weight", IF(Cleaned_data!$K74&lt;=29.9,"Overweight",IF(Cleaned_data!$K74&gt;=30,"obese"))))</f>
        <v>obese</v>
      </c>
    </row>
    <row r="75" spans="1:12" x14ac:dyDescent="0.35">
      <c r="A75" s="7" t="s">
        <v>90</v>
      </c>
      <c r="B75" s="1">
        <v>25</v>
      </c>
      <c r="C75" s="1" t="s">
        <v>19</v>
      </c>
      <c r="D75" s="1">
        <v>88.93</v>
      </c>
      <c r="E75" s="1">
        <v>15.5</v>
      </c>
      <c r="F75" s="1">
        <v>3</v>
      </c>
      <c r="G75" s="1">
        <v>0</v>
      </c>
      <c r="H75" s="1">
        <v>3</v>
      </c>
      <c r="I75" s="1">
        <v>3.8</v>
      </c>
      <c r="J75" s="1" t="s">
        <v>14</v>
      </c>
      <c r="K75" s="1">
        <f t="shared" si="1"/>
        <v>34.858877769031821</v>
      </c>
      <c r="L75" s="8" t="str">
        <f>IF(Cleaned_data!$K75&lt;18.5,"underweight", IF(Cleaned_data!$K75&lt;=24.9,"Healthy Weight", IF(Cleaned_data!$K75&lt;=29.9,"Overweight",IF(Cleaned_data!$K75&gt;=30,"obese"))))</f>
        <v>obese</v>
      </c>
    </row>
    <row r="76" spans="1:12" x14ac:dyDescent="0.35">
      <c r="A76" s="7" t="s">
        <v>91</v>
      </c>
      <c r="B76" s="1">
        <v>41</v>
      </c>
      <c r="C76" s="1" t="s">
        <v>11</v>
      </c>
      <c r="D76" s="1">
        <v>105.5</v>
      </c>
      <c r="E76" s="1">
        <v>20.18</v>
      </c>
      <c r="F76" s="1">
        <v>1</v>
      </c>
      <c r="G76" s="1">
        <v>4</v>
      </c>
      <c r="H76" s="1">
        <v>3</v>
      </c>
      <c r="I76" s="1">
        <v>1.9</v>
      </c>
      <c r="J76" s="1" t="s">
        <v>24</v>
      </c>
      <c r="K76" s="1">
        <f t="shared" si="1"/>
        <v>38.255924170616119</v>
      </c>
      <c r="L76" s="8" t="str">
        <f>IF(Cleaned_data!$K76&lt;18.5,"underweight", IF(Cleaned_data!$K76&lt;=24.9,"Healthy Weight", IF(Cleaned_data!$K76&lt;=29.9,"Overweight",IF(Cleaned_data!$K76&gt;=30,"obese"))))</f>
        <v>obese</v>
      </c>
    </row>
    <row r="77" spans="1:12" x14ac:dyDescent="0.35">
      <c r="A77" s="7" t="s">
        <v>92</v>
      </c>
      <c r="B77" s="1">
        <v>38</v>
      </c>
      <c r="C77" s="1" t="s">
        <v>19</v>
      </c>
      <c r="D77" s="1">
        <v>101.47</v>
      </c>
      <c r="E77" s="1">
        <v>15.96</v>
      </c>
      <c r="F77" s="1">
        <v>1</v>
      </c>
      <c r="G77" s="1">
        <v>1</v>
      </c>
      <c r="H77" s="1">
        <v>0</v>
      </c>
      <c r="I77" s="1">
        <v>0.8</v>
      </c>
      <c r="J77" s="1" t="s">
        <v>12</v>
      </c>
      <c r="K77" s="1">
        <f t="shared" si="1"/>
        <v>31.457573667093726</v>
      </c>
      <c r="L77" s="8" t="str">
        <f>IF(Cleaned_data!$K77&lt;18.5,"underweight", IF(Cleaned_data!$K77&lt;=24.9,"Healthy Weight", IF(Cleaned_data!$K77&lt;=29.9,"Overweight",IF(Cleaned_data!$K77&gt;=30,"obese"))))</f>
        <v>obese</v>
      </c>
    </row>
    <row r="78" spans="1:12" x14ac:dyDescent="0.35">
      <c r="A78" s="7" t="s">
        <v>93</v>
      </c>
      <c r="B78" s="1">
        <v>46</v>
      </c>
      <c r="C78" s="1" t="s">
        <v>19</v>
      </c>
      <c r="D78" s="1">
        <v>103.84</v>
      </c>
      <c r="E78" s="1">
        <v>17.13</v>
      </c>
      <c r="F78" s="1">
        <v>0</v>
      </c>
      <c r="G78" s="1">
        <v>4</v>
      </c>
      <c r="H78" s="1">
        <v>1</v>
      </c>
      <c r="I78" s="1">
        <v>0.7</v>
      </c>
      <c r="J78" s="1" t="s">
        <v>20</v>
      </c>
      <c r="K78" s="1">
        <f t="shared" si="1"/>
        <v>32.993066255778118</v>
      </c>
      <c r="L78" s="8" t="str">
        <f>IF(Cleaned_data!$K78&lt;18.5,"underweight", IF(Cleaned_data!$K78&lt;=24.9,"Healthy Weight", IF(Cleaned_data!$K78&lt;=29.9,"Overweight",IF(Cleaned_data!$K78&gt;=30,"obese"))))</f>
        <v>obese</v>
      </c>
    </row>
    <row r="79" spans="1:12" x14ac:dyDescent="0.35">
      <c r="A79" s="7" t="s">
        <v>94</v>
      </c>
      <c r="B79" s="1">
        <v>45</v>
      </c>
      <c r="C79" s="1" t="s">
        <v>19</v>
      </c>
      <c r="D79" s="1">
        <v>103.74</v>
      </c>
      <c r="E79" s="1">
        <v>18.21</v>
      </c>
      <c r="F79" s="1">
        <v>1</v>
      </c>
      <c r="G79" s="1">
        <v>3</v>
      </c>
      <c r="H79" s="1">
        <v>0</v>
      </c>
      <c r="I79" s="1">
        <v>0.5</v>
      </c>
      <c r="J79" s="1" t="s">
        <v>20</v>
      </c>
      <c r="K79" s="1">
        <f t="shared" si="1"/>
        <v>35.106998264893008</v>
      </c>
      <c r="L79" s="8" t="str">
        <f>IF(Cleaned_data!$K79&lt;18.5,"underweight", IF(Cleaned_data!$K79&lt;=24.9,"Healthy Weight", IF(Cleaned_data!$K79&lt;=29.9,"Overweight",IF(Cleaned_data!$K79&gt;=30,"obese"))))</f>
        <v>obese</v>
      </c>
    </row>
    <row r="80" spans="1:12" x14ac:dyDescent="0.35">
      <c r="A80" s="7" t="s">
        <v>95</v>
      </c>
      <c r="B80" s="1">
        <v>48</v>
      </c>
      <c r="C80" s="1" t="s">
        <v>19</v>
      </c>
      <c r="D80" s="1">
        <v>101.32</v>
      </c>
      <c r="E80" s="1">
        <v>21.93</v>
      </c>
      <c r="F80" s="1">
        <v>4</v>
      </c>
      <c r="G80" s="1">
        <v>2</v>
      </c>
      <c r="H80" s="1">
        <v>2</v>
      </c>
      <c r="I80" s="1">
        <v>2.8</v>
      </c>
      <c r="J80" s="1" t="s">
        <v>14</v>
      </c>
      <c r="K80" s="1">
        <f t="shared" si="1"/>
        <v>43.288590604026851</v>
      </c>
      <c r="L80" s="8" t="str">
        <f>IF(Cleaned_data!$K80&lt;18.5,"underweight", IF(Cleaned_data!$K80&lt;=24.9,"Healthy Weight", IF(Cleaned_data!$K80&lt;=29.9,"Overweight",IF(Cleaned_data!$K80&gt;=30,"obese"))))</f>
        <v>obese</v>
      </c>
    </row>
    <row r="81" spans="1:12" x14ac:dyDescent="0.35">
      <c r="A81" s="7" t="s">
        <v>96</v>
      </c>
      <c r="B81" s="1">
        <v>54</v>
      </c>
      <c r="C81" s="1" t="s">
        <v>11</v>
      </c>
      <c r="D81" s="1">
        <v>109.83</v>
      </c>
      <c r="E81" s="1">
        <v>21.35</v>
      </c>
      <c r="F81" s="1">
        <v>3</v>
      </c>
      <c r="G81" s="1">
        <v>2</v>
      </c>
      <c r="H81" s="1">
        <v>1</v>
      </c>
      <c r="I81" s="1">
        <v>0.7</v>
      </c>
      <c r="J81" s="1" t="s">
        <v>24</v>
      </c>
      <c r="K81" s="1">
        <f t="shared" si="1"/>
        <v>38.878266411727218</v>
      </c>
      <c r="L81" s="8" t="str">
        <f>IF(Cleaned_data!$K81&lt;18.5,"underweight", IF(Cleaned_data!$K81&lt;=24.9,"Healthy Weight", IF(Cleaned_data!$K81&lt;=29.9,"Overweight",IF(Cleaned_data!$K81&gt;=30,"obese"))))</f>
        <v>obese</v>
      </c>
    </row>
    <row r="82" spans="1:12" x14ac:dyDescent="0.35">
      <c r="A82" s="7" t="s">
        <v>97</v>
      </c>
      <c r="B82" s="1">
        <v>49</v>
      </c>
      <c r="C82" s="1" t="s">
        <v>19</v>
      </c>
      <c r="D82" s="1">
        <v>112.98</v>
      </c>
      <c r="E82" s="1">
        <v>18.22</v>
      </c>
      <c r="F82" s="1">
        <v>3</v>
      </c>
      <c r="G82" s="1">
        <v>1</v>
      </c>
      <c r="H82" s="1">
        <v>1</v>
      </c>
      <c r="I82" s="1">
        <v>1.7</v>
      </c>
      <c r="J82" s="1" t="s">
        <v>12</v>
      </c>
      <c r="K82" s="1">
        <f t="shared" si="1"/>
        <v>32.253496194016634</v>
      </c>
      <c r="L82" s="8" t="str">
        <f>IF(Cleaned_data!$K82&lt;18.5,"underweight", IF(Cleaned_data!$K82&lt;=24.9,"Healthy Weight", IF(Cleaned_data!$K82&lt;=29.9,"Overweight",IF(Cleaned_data!$K82&gt;=30,"obese"))))</f>
        <v>obese</v>
      </c>
    </row>
    <row r="83" spans="1:12" x14ac:dyDescent="0.35">
      <c r="A83" s="7" t="s">
        <v>98</v>
      </c>
      <c r="B83" s="1">
        <v>45</v>
      </c>
      <c r="C83" s="1" t="s">
        <v>11</v>
      </c>
      <c r="D83" s="1">
        <v>104.87</v>
      </c>
      <c r="E83" s="1">
        <v>19.66</v>
      </c>
      <c r="F83" s="1">
        <v>1</v>
      </c>
      <c r="G83" s="1">
        <v>4</v>
      </c>
      <c r="H83" s="1">
        <v>2</v>
      </c>
      <c r="I83" s="1">
        <v>1.1000000000000001</v>
      </c>
      <c r="J83" s="1" t="s">
        <v>27</v>
      </c>
      <c r="K83" s="1">
        <f t="shared" si="1"/>
        <v>37.494040240297515</v>
      </c>
      <c r="L83" s="8" t="str">
        <f>IF(Cleaned_data!$K83&lt;18.5,"underweight", IF(Cleaned_data!$K83&lt;=24.9,"Healthy Weight", IF(Cleaned_data!$K83&lt;=29.9,"Overweight",IF(Cleaned_data!$K83&gt;=30,"obese"))))</f>
        <v>obese</v>
      </c>
    </row>
    <row r="84" spans="1:12" x14ac:dyDescent="0.35">
      <c r="A84" s="7" t="s">
        <v>99</v>
      </c>
      <c r="B84" s="1">
        <v>30</v>
      </c>
      <c r="C84" s="1" t="s">
        <v>19</v>
      </c>
      <c r="D84" s="1">
        <v>100.81</v>
      </c>
      <c r="E84" s="1">
        <v>14.39</v>
      </c>
      <c r="F84" s="1">
        <v>2</v>
      </c>
      <c r="G84" s="1">
        <v>4</v>
      </c>
      <c r="H84" s="1">
        <v>2</v>
      </c>
      <c r="I84" s="1">
        <v>2.6</v>
      </c>
      <c r="J84" s="1" t="s">
        <v>12</v>
      </c>
      <c r="K84" s="1">
        <f t="shared" si="1"/>
        <v>28.54875508382105</v>
      </c>
      <c r="L84" s="8" t="str">
        <f>IF(Cleaned_data!$K84&lt;18.5,"underweight", IF(Cleaned_data!$K84&lt;=24.9,"Healthy Weight", IF(Cleaned_data!$K84&lt;=29.9,"Overweight",IF(Cleaned_data!$K84&gt;=30,"obese"))))</f>
        <v>Overweight</v>
      </c>
    </row>
    <row r="85" spans="1:12" x14ac:dyDescent="0.35">
      <c r="A85" s="7" t="s">
        <v>100</v>
      </c>
      <c r="B85" s="1">
        <v>29</v>
      </c>
      <c r="C85" s="1" t="s">
        <v>11</v>
      </c>
      <c r="D85" s="1">
        <v>101.16</v>
      </c>
      <c r="E85" s="1">
        <v>14.14</v>
      </c>
      <c r="F85" s="1">
        <v>2</v>
      </c>
      <c r="G85" s="1">
        <v>2</v>
      </c>
      <c r="H85" s="1">
        <v>3</v>
      </c>
      <c r="I85" s="1">
        <v>1.3</v>
      </c>
      <c r="J85" s="1" t="s">
        <v>12</v>
      </c>
      <c r="K85" s="1">
        <f t="shared" si="1"/>
        <v>27.955713720838276</v>
      </c>
      <c r="L85" s="8" t="str">
        <f>IF(Cleaned_data!$K85&lt;18.5,"underweight", IF(Cleaned_data!$K85&lt;=24.9,"Healthy Weight", IF(Cleaned_data!$K85&lt;=29.9,"Overweight",IF(Cleaned_data!$K85&gt;=30,"obese"))))</f>
        <v>Overweight</v>
      </c>
    </row>
    <row r="86" spans="1:12" x14ac:dyDescent="0.35">
      <c r="A86" s="7" t="s">
        <v>101</v>
      </c>
      <c r="B86" s="1">
        <v>57</v>
      </c>
      <c r="C86" s="1" t="s">
        <v>11</v>
      </c>
      <c r="D86" s="1">
        <v>115.19</v>
      </c>
      <c r="E86" s="1">
        <v>20.76</v>
      </c>
      <c r="F86" s="1">
        <v>1</v>
      </c>
      <c r="G86" s="1">
        <v>4</v>
      </c>
      <c r="H86" s="1">
        <v>0</v>
      </c>
      <c r="I86" s="1">
        <v>1</v>
      </c>
      <c r="J86" s="1" t="s">
        <v>12</v>
      </c>
      <c r="K86" s="1">
        <f t="shared" si="1"/>
        <v>36.044795555169728</v>
      </c>
      <c r="L86" s="8" t="str">
        <f>IF(Cleaned_data!$K86&lt;18.5,"underweight", IF(Cleaned_data!$K86&lt;=24.9,"Healthy Weight", IF(Cleaned_data!$K86&lt;=29.9,"Overweight",IF(Cleaned_data!$K86&gt;=30,"obese"))))</f>
        <v>obese</v>
      </c>
    </row>
    <row r="87" spans="1:12" x14ac:dyDescent="0.35">
      <c r="A87" s="7" t="s">
        <v>102</v>
      </c>
      <c r="B87" s="1">
        <v>56</v>
      </c>
      <c r="C87" s="1" t="s">
        <v>19</v>
      </c>
      <c r="D87" s="1">
        <v>110.72</v>
      </c>
      <c r="E87" s="1">
        <v>20.149999999999999</v>
      </c>
      <c r="F87" s="1">
        <v>0</v>
      </c>
      <c r="G87" s="1">
        <v>1</v>
      </c>
      <c r="H87" s="1">
        <v>1</v>
      </c>
      <c r="I87" s="1">
        <v>2</v>
      </c>
      <c r="J87" s="1" t="s">
        <v>27</v>
      </c>
      <c r="K87" s="1">
        <f t="shared" si="1"/>
        <v>36.398121387283233</v>
      </c>
      <c r="L87" s="8" t="str">
        <f>IF(Cleaned_data!$K87&lt;18.5,"underweight", IF(Cleaned_data!$K87&lt;=24.9,"Healthy Weight", IF(Cleaned_data!$K87&lt;=29.9,"Overweight",IF(Cleaned_data!$K87&gt;=30,"obese"))))</f>
        <v>obese</v>
      </c>
    </row>
    <row r="88" spans="1:12" x14ac:dyDescent="0.35">
      <c r="A88" s="7" t="s">
        <v>103</v>
      </c>
      <c r="B88" s="1">
        <v>56</v>
      </c>
      <c r="C88" s="1" t="s">
        <v>11</v>
      </c>
      <c r="D88" s="1">
        <v>106.73</v>
      </c>
      <c r="E88" s="1">
        <v>24.09</v>
      </c>
      <c r="F88" s="1">
        <v>0</v>
      </c>
      <c r="G88" s="1">
        <v>1</v>
      </c>
      <c r="H88" s="1">
        <v>3</v>
      </c>
      <c r="I88" s="1">
        <v>1.7</v>
      </c>
      <c r="J88" s="1" t="s">
        <v>27</v>
      </c>
      <c r="K88" s="1">
        <f t="shared" si="1"/>
        <v>45.141946968987156</v>
      </c>
      <c r="L88" s="8" t="str">
        <f>IF(Cleaned_data!$K88&lt;18.5,"underweight", IF(Cleaned_data!$K88&lt;=24.9,"Healthy Weight", IF(Cleaned_data!$K88&lt;=29.9,"Overweight",IF(Cleaned_data!$K88&gt;=30,"obese"))))</f>
        <v>obese</v>
      </c>
    </row>
    <row r="89" spans="1:12" x14ac:dyDescent="0.35">
      <c r="A89" s="7" t="s">
        <v>104</v>
      </c>
      <c r="B89" s="1">
        <v>25</v>
      </c>
      <c r="C89" s="1" t="s">
        <v>11</v>
      </c>
      <c r="D89" s="1">
        <v>99.72</v>
      </c>
      <c r="E89" s="1">
        <v>14.9</v>
      </c>
      <c r="F89" s="1">
        <v>4</v>
      </c>
      <c r="G89" s="1">
        <v>2</v>
      </c>
      <c r="H89" s="1">
        <v>3</v>
      </c>
      <c r="I89" s="1">
        <v>2.2000000000000002</v>
      </c>
      <c r="J89" s="1" t="s">
        <v>14</v>
      </c>
      <c r="K89" s="1">
        <f t="shared" si="1"/>
        <v>29.883674288006418</v>
      </c>
      <c r="L89" s="8" t="str">
        <f>IF(Cleaned_data!$K89&lt;18.5,"underweight", IF(Cleaned_data!$K89&lt;=24.9,"Healthy Weight", IF(Cleaned_data!$K89&lt;=29.9,"Overweight",IF(Cleaned_data!$K89&gt;=30,"obese"))))</f>
        <v>Overweight</v>
      </c>
    </row>
    <row r="90" spans="1:12" x14ac:dyDescent="0.35">
      <c r="A90" s="7" t="s">
        <v>105</v>
      </c>
      <c r="B90" s="1">
        <v>30</v>
      </c>
      <c r="C90" s="1" t="s">
        <v>11</v>
      </c>
      <c r="D90" s="1">
        <v>96.45</v>
      </c>
      <c r="E90" s="1">
        <v>14.77</v>
      </c>
      <c r="F90" s="1">
        <v>4</v>
      </c>
      <c r="G90" s="1">
        <v>2</v>
      </c>
      <c r="H90" s="1">
        <v>0</v>
      </c>
      <c r="I90" s="1">
        <v>0.6</v>
      </c>
      <c r="J90" s="1" t="s">
        <v>24</v>
      </c>
      <c r="K90" s="1">
        <f t="shared" si="1"/>
        <v>30.627268014515291</v>
      </c>
      <c r="L90" s="8" t="str">
        <f>IF(Cleaned_data!$K90&lt;18.5,"underweight", IF(Cleaned_data!$K90&lt;=24.9,"Healthy Weight", IF(Cleaned_data!$K90&lt;=29.9,"Overweight",IF(Cleaned_data!$K90&gt;=30,"obese"))))</f>
        <v>obese</v>
      </c>
    </row>
    <row r="91" spans="1:12" x14ac:dyDescent="0.35">
      <c r="A91" s="7" t="s">
        <v>106</v>
      </c>
      <c r="B91" s="1">
        <v>53</v>
      </c>
      <c r="C91" s="1" t="s">
        <v>19</v>
      </c>
      <c r="D91" s="1">
        <v>106.44</v>
      </c>
      <c r="E91" s="1">
        <v>20.73</v>
      </c>
      <c r="F91" s="1">
        <v>4</v>
      </c>
      <c r="G91" s="1">
        <v>3</v>
      </c>
      <c r="H91" s="1">
        <v>2</v>
      </c>
      <c r="I91" s="1">
        <v>2</v>
      </c>
      <c r="J91" s="1" t="s">
        <v>12</v>
      </c>
      <c r="K91" s="1">
        <f t="shared" si="1"/>
        <v>38.951521984216463</v>
      </c>
      <c r="L91" s="8" t="str">
        <f>IF(Cleaned_data!$K91&lt;18.5,"underweight", IF(Cleaned_data!$K91&lt;=24.9,"Healthy Weight", IF(Cleaned_data!$K91&lt;=29.9,"Overweight",IF(Cleaned_data!$K91&gt;=30,"obese"))))</f>
        <v>obese</v>
      </c>
    </row>
    <row r="92" spans="1:12" x14ac:dyDescent="0.35">
      <c r="A92" s="7" t="s">
        <v>107</v>
      </c>
      <c r="B92" s="1">
        <v>29</v>
      </c>
      <c r="C92" s="1" t="s">
        <v>11</v>
      </c>
      <c r="D92" s="1">
        <v>97.77</v>
      </c>
      <c r="E92" s="1">
        <v>15.72</v>
      </c>
      <c r="F92" s="1">
        <v>2</v>
      </c>
      <c r="G92" s="1">
        <v>0</v>
      </c>
      <c r="H92" s="1">
        <v>0</v>
      </c>
      <c r="I92" s="1">
        <v>0.9</v>
      </c>
      <c r="J92" s="1" t="s">
        <v>12</v>
      </c>
      <c r="K92" s="1">
        <f t="shared" si="1"/>
        <v>32.157103405952746</v>
      </c>
      <c r="L92" s="8" t="str">
        <f>IF(Cleaned_data!$K92&lt;18.5,"underweight", IF(Cleaned_data!$K92&lt;=24.9,"Healthy Weight", IF(Cleaned_data!$K92&lt;=29.9,"Overweight",IF(Cleaned_data!$K92&gt;=30,"obese"))))</f>
        <v>obese</v>
      </c>
    </row>
    <row r="93" spans="1:12" x14ac:dyDescent="0.35">
      <c r="A93" s="7" t="s">
        <v>108</v>
      </c>
      <c r="B93" s="1">
        <v>58</v>
      </c>
      <c r="C93" s="1" t="s">
        <v>19</v>
      </c>
      <c r="D93" s="1">
        <v>113.49</v>
      </c>
      <c r="E93" s="1">
        <v>25.26</v>
      </c>
      <c r="F93" s="1">
        <v>0</v>
      </c>
      <c r="G93" s="1">
        <v>4</v>
      </c>
      <c r="H93" s="1">
        <v>3</v>
      </c>
      <c r="I93" s="1">
        <v>3</v>
      </c>
      <c r="J93" s="1" t="s">
        <v>27</v>
      </c>
      <c r="K93" s="1">
        <f t="shared" si="1"/>
        <v>44.514935236584726</v>
      </c>
      <c r="L93" s="8" t="str">
        <f>IF(Cleaned_data!$K93&lt;18.5,"underweight", IF(Cleaned_data!$K93&lt;=24.9,"Healthy Weight", IF(Cleaned_data!$K93&lt;=29.9,"Overweight",IF(Cleaned_data!$K93&gt;=30,"obese"))))</f>
        <v>obese</v>
      </c>
    </row>
    <row r="94" spans="1:12" x14ac:dyDescent="0.35">
      <c r="A94" s="7" t="s">
        <v>109</v>
      </c>
      <c r="B94" s="1">
        <v>26</v>
      </c>
      <c r="C94" s="1" t="s">
        <v>19</v>
      </c>
      <c r="D94" s="1">
        <v>92.08</v>
      </c>
      <c r="E94" s="1">
        <v>15.29</v>
      </c>
      <c r="F94" s="1">
        <v>4</v>
      </c>
      <c r="G94" s="1">
        <v>1</v>
      </c>
      <c r="H94" s="1">
        <v>2</v>
      </c>
      <c r="I94" s="1">
        <v>2.6</v>
      </c>
      <c r="J94" s="1" t="s">
        <v>20</v>
      </c>
      <c r="K94" s="1">
        <f t="shared" si="1"/>
        <v>33.210251954821892</v>
      </c>
      <c r="L94" s="8" t="str">
        <f>IF(Cleaned_data!$K94&lt;18.5,"underweight", IF(Cleaned_data!$K94&lt;=24.9,"Healthy Weight", IF(Cleaned_data!$K94&lt;=29.9,"Overweight",IF(Cleaned_data!$K94&gt;=30,"obese"))))</f>
        <v>obese</v>
      </c>
    </row>
    <row r="95" spans="1:12" x14ac:dyDescent="0.35">
      <c r="A95" s="7" t="s">
        <v>110</v>
      </c>
      <c r="B95" s="1">
        <v>25</v>
      </c>
      <c r="C95" s="1" t="s">
        <v>11</v>
      </c>
      <c r="D95" s="1">
        <v>96.42</v>
      </c>
      <c r="E95" s="1">
        <v>15.34</v>
      </c>
      <c r="F95" s="1">
        <v>4</v>
      </c>
      <c r="G95" s="1">
        <v>3</v>
      </c>
      <c r="H95" s="1">
        <v>2</v>
      </c>
      <c r="I95" s="1">
        <v>0.9</v>
      </c>
      <c r="J95" s="1" t="s">
        <v>20</v>
      </c>
      <c r="K95" s="1">
        <f t="shared" si="1"/>
        <v>31.819124662933</v>
      </c>
      <c r="L95" s="8" t="str">
        <f>IF(Cleaned_data!$K95&lt;18.5,"underweight", IF(Cleaned_data!$K95&lt;=24.9,"Healthy Weight", IF(Cleaned_data!$K95&lt;=29.9,"Overweight",IF(Cleaned_data!$K95&gt;=30,"obese"))))</f>
        <v>obese</v>
      </c>
    </row>
    <row r="96" spans="1:12" x14ac:dyDescent="0.35">
      <c r="A96" s="7" t="s">
        <v>111</v>
      </c>
      <c r="B96" s="1">
        <v>59</v>
      </c>
      <c r="C96" s="1" t="s">
        <v>11</v>
      </c>
      <c r="D96" s="1">
        <v>108.1</v>
      </c>
      <c r="E96" s="1">
        <v>19.25</v>
      </c>
      <c r="F96" s="1">
        <v>1</v>
      </c>
      <c r="G96" s="1">
        <v>0</v>
      </c>
      <c r="H96" s="1">
        <v>1</v>
      </c>
      <c r="I96" s="1">
        <v>1</v>
      </c>
      <c r="J96" s="1" t="s">
        <v>12</v>
      </c>
      <c r="K96" s="1">
        <f t="shared" si="1"/>
        <v>35.61517113783534</v>
      </c>
      <c r="L96" s="8" t="str">
        <f>IF(Cleaned_data!$K96&lt;18.5,"underweight", IF(Cleaned_data!$K96&lt;=24.9,"Healthy Weight", IF(Cleaned_data!$K96&lt;=29.9,"Overweight",IF(Cleaned_data!$K96&gt;=30,"obese"))))</f>
        <v>obese</v>
      </c>
    </row>
    <row r="97" spans="1:12" x14ac:dyDescent="0.35">
      <c r="A97" s="7" t="s">
        <v>112</v>
      </c>
      <c r="B97" s="1">
        <v>50</v>
      </c>
      <c r="C97" s="1" t="s">
        <v>11</v>
      </c>
      <c r="D97" s="1">
        <v>109.15</v>
      </c>
      <c r="E97" s="1">
        <v>22.09</v>
      </c>
      <c r="F97" s="1">
        <v>1</v>
      </c>
      <c r="G97" s="1">
        <v>4</v>
      </c>
      <c r="H97" s="1">
        <v>0</v>
      </c>
      <c r="I97" s="1">
        <v>0.6</v>
      </c>
      <c r="J97" s="1" t="s">
        <v>14</v>
      </c>
      <c r="K97" s="1">
        <f t="shared" si="1"/>
        <v>40.476408612001826</v>
      </c>
      <c r="L97" s="8" t="str">
        <f>IF(Cleaned_data!$K97&lt;18.5,"underweight", IF(Cleaned_data!$K97&lt;=24.9,"Healthy Weight", IF(Cleaned_data!$K97&lt;=29.9,"Overweight",IF(Cleaned_data!$K97&gt;=30,"obese"))))</f>
        <v>obese</v>
      </c>
    </row>
    <row r="98" spans="1:12" x14ac:dyDescent="0.35">
      <c r="A98" s="7" t="s">
        <v>113</v>
      </c>
      <c r="B98" s="1">
        <v>48</v>
      </c>
      <c r="C98" s="1" t="s">
        <v>19</v>
      </c>
      <c r="D98" s="1">
        <v>107.71</v>
      </c>
      <c r="E98" s="1">
        <v>19.079999999999998</v>
      </c>
      <c r="F98" s="1">
        <v>0</v>
      </c>
      <c r="G98" s="1">
        <v>2</v>
      </c>
      <c r="H98" s="1">
        <v>2</v>
      </c>
      <c r="I98" s="1">
        <v>1.8</v>
      </c>
      <c r="J98" s="1" t="s">
        <v>20</v>
      </c>
      <c r="K98" s="1">
        <f t="shared" si="1"/>
        <v>35.428465323553986</v>
      </c>
      <c r="L98" s="8" t="str">
        <f>IF(Cleaned_data!$K98&lt;18.5,"underweight", IF(Cleaned_data!$K98&lt;=24.9,"Healthy Weight", IF(Cleaned_data!$K98&lt;=29.9,"Overweight",IF(Cleaned_data!$K98&gt;=30,"obese"))))</f>
        <v>obese</v>
      </c>
    </row>
    <row r="99" spans="1:12" x14ac:dyDescent="0.35">
      <c r="A99" s="7" t="s">
        <v>114</v>
      </c>
      <c r="B99" s="1">
        <v>57</v>
      </c>
      <c r="C99" s="1" t="s">
        <v>19</v>
      </c>
      <c r="D99" s="1">
        <v>112.41</v>
      </c>
      <c r="E99" s="1">
        <v>21.55</v>
      </c>
      <c r="F99" s="1">
        <v>2</v>
      </c>
      <c r="G99" s="1">
        <v>4</v>
      </c>
      <c r="H99" s="1">
        <v>0</v>
      </c>
      <c r="I99" s="1">
        <v>0.9</v>
      </c>
      <c r="J99" s="1" t="s">
        <v>12</v>
      </c>
      <c r="K99" s="1">
        <f t="shared" si="1"/>
        <v>38.341784538742111</v>
      </c>
      <c r="L99" s="8" t="str">
        <f>IF(Cleaned_data!$K99&lt;18.5,"underweight", IF(Cleaned_data!$K99&lt;=24.9,"Healthy Weight", IF(Cleaned_data!$K99&lt;=29.9,"Overweight",IF(Cleaned_data!$K99&gt;=30,"obese"))))</f>
        <v>obese</v>
      </c>
    </row>
    <row r="100" spans="1:12" x14ac:dyDescent="0.35">
      <c r="A100" s="7" t="s">
        <v>115</v>
      </c>
      <c r="B100" s="1">
        <v>45</v>
      </c>
      <c r="C100" s="1" t="s">
        <v>19</v>
      </c>
      <c r="D100" s="1">
        <v>110.12</v>
      </c>
      <c r="E100" s="1">
        <v>18.510000000000002</v>
      </c>
      <c r="F100" s="1">
        <v>0</v>
      </c>
      <c r="G100" s="1">
        <v>2</v>
      </c>
      <c r="H100" s="1">
        <v>0</v>
      </c>
      <c r="I100" s="1">
        <v>0.9</v>
      </c>
      <c r="J100" s="1" t="s">
        <v>24</v>
      </c>
      <c r="K100" s="1">
        <f t="shared" si="1"/>
        <v>33.617871413003996</v>
      </c>
      <c r="L100" s="8" t="str">
        <f>IF(Cleaned_data!$K100&lt;18.5,"underweight", IF(Cleaned_data!$K100&lt;=24.9,"Healthy Weight", IF(Cleaned_data!$K100&lt;=29.9,"Overweight",IF(Cleaned_data!$K100&gt;=30,"obese"))))</f>
        <v>obese</v>
      </c>
    </row>
    <row r="101" spans="1:12" x14ac:dyDescent="0.35">
      <c r="A101" s="9" t="s">
        <v>116</v>
      </c>
      <c r="B101" s="10">
        <v>49</v>
      </c>
      <c r="C101" s="10" t="s">
        <v>19</v>
      </c>
      <c r="D101" s="10">
        <v>106.6</v>
      </c>
      <c r="E101" s="10">
        <v>21.21</v>
      </c>
      <c r="F101" s="10">
        <v>0</v>
      </c>
      <c r="G101" s="10">
        <v>0</v>
      </c>
      <c r="H101" s="10">
        <v>2</v>
      </c>
      <c r="I101" s="10">
        <v>2.5</v>
      </c>
      <c r="J101" s="10" t="s">
        <v>24</v>
      </c>
      <c r="K101" s="10">
        <f t="shared" si="1"/>
        <v>39.793621013133219</v>
      </c>
      <c r="L101" s="11" t="str">
        <f>IF(Cleaned_data!$K101&lt;18.5,"underweight", IF(Cleaned_data!$K101&lt;=24.9,"Healthy Weight", IF(Cleaned_data!$K101&lt;=29.9,"Overweight",IF(Cleaned_data!$K101&gt;=30,"obese"))))</f>
        <v>obese</v>
      </c>
    </row>
    <row r="102" spans="1:12" x14ac:dyDescent="0.35">
      <c r="L102" s="3"/>
    </row>
  </sheetData>
  <dataValidations count="1">
    <dataValidation type="list" allowBlank="1" showInputMessage="1" showErrorMessage="1" sqref="J2:J101" xr:uid="{8252442E-84A4-48FC-A662-AE56BFFEFE2C}">
      <formula1>"Validation!A1:A5"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AADD-32E6-4379-9982-E141D53AB469}">
  <dimension ref="A3:E39"/>
  <sheetViews>
    <sheetView topLeftCell="C1" workbookViewId="0">
      <selection activeCell="H6" sqref="H6"/>
    </sheetView>
  </sheetViews>
  <sheetFormatPr defaultRowHeight="14.5" x14ac:dyDescent="0.35"/>
  <cols>
    <col min="1" max="1" width="14.6328125" bestFit="1" customWidth="1"/>
    <col min="2" max="2" width="13.81640625" bestFit="1" customWidth="1"/>
    <col min="3" max="3" width="5.81640625" bestFit="1" customWidth="1"/>
    <col min="4" max="4" width="10.453125" bestFit="1" customWidth="1"/>
    <col min="5" max="5" width="10.7265625" bestFit="1" customWidth="1"/>
    <col min="6" max="35" width="2.81640625" bestFit="1" customWidth="1"/>
    <col min="36" max="36" width="10.7265625" bestFit="1" customWidth="1"/>
    <col min="37" max="37" width="5.81640625" bestFit="1" customWidth="1"/>
    <col min="38" max="38" width="7.54296875" bestFit="1" customWidth="1"/>
    <col min="39" max="39" width="5.81640625" bestFit="1" customWidth="1"/>
    <col min="40" max="40" width="7.54296875" bestFit="1" customWidth="1"/>
    <col min="41" max="41" width="5.81640625" bestFit="1" customWidth="1"/>
    <col min="42" max="42" width="10.453125" bestFit="1" customWidth="1"/>
    <col min="43" max="43" width="7.54296875" bestFit="1" customWidth="1"/>
    <col min="44" max="44" width="5.81640625" bestFit="1" customWidth="1"/>
    <col min="45" max="45" width="10.453125" bestFit="1" customWidth="1"/>
    <col min="46" max="46" width="7.54296875" bestFit="1" customWidth="1"/>
    <col min="47" max="47" width="5.81640625" bestFit="1" customWidth="1"/>
    <col min="48" max="48" width="7.54296875" bestFit="1" customWidth="1"/>
    <col min="49" max="49" width="5.81640625" bestFit="1" customWidth="1"/>
    <col min="50" max="50" width="7.54296875" bestFit="1" customWidth="1"/>
    <col min="51" max="51" width="5.81640625" bestFit="1" customWidth="1"/>
    <col min="52" max="52" width="7.54296875" bestFit="1" customWidth="1"/>
    <col min="53" max="53" width="5.81640625" bestFit="1" customWidth="1"/>
    <col min="54" max="54" width="7.54296875" bestFit="1" customWidth="1"/>
    <col min="55" max="55" width="5.81640625" bestFit="1" customWidth="1"/>
    <col min="56" max="56" width="7.54296875" bestFit="1" customWidth="1"/>
    <col min="57" max="57" width="5.81640625" bestFit="1" customWidth="1"/>
    <col min="58" max="58" width="7.54296875" bestFit="1" customWidth="1"/>
    <col min="59" max="59" width="5.81640625" bestFit="1" customWidth="1"/>
    <col min="60" max="60" width="7.54296875" bestFit="1" customWidth="1"/>
    <col min="61" max="61" width="5.81640625" bestFit="1" customWidth="1"/>
    <col min="62" max="62" width="7.54296875" bestFit="1" customWidth="1"/>
    <col min="63" max="63" width="5.81640625" bestFit="1" customWidth="1"/>
    <col min="64" max="64" width="7.54296875" bestFit="1" customWidth="1"/>
    <col min="65" max="65" width="5.81640625" bestFit="1" customWidth="1"/>
    <col min="66" max="66" width="7.54296875" bestFit="1" customWidth="1"/>
    <col min="67" max="67" width="5.81640625" bestFit="1" customWidth="1"/>
    <col min="68" max="68" width="7.54296875" bestFit="1" customWidth="1"/>
    <col min="69" max="69" width="5.81640625" bestFit="1" customWidth="1"/>
    <col min="70" max="70" width="7.54296875" bestFit="1" customWidth="1"/>
    <col min="71" max="71" width="5.81640625" bestFit="1" customWidth="1"/>
    <col min="72" max="72" width="7.54296875" bestFit="1" customWidth="1"/>
    <col min="73" max="73" width="5.81640625" bestFit="1" customWidth="1"/>
    <col min="74" max="74" width="7.54296875" bestFit="1" customWidth="1"/>
    <col min="75" max="75" width="5.81640625" bestFit="1" customWidth="1"/>
    <col min="76" max="76" width="7.54296875" bestFit="1" customWidth="1"/>
    <col min="77" max="77" width="5.81640625" bestFit="1" customWidth="1"/>
    <col min="78" max="78" width="7.54296875" bestFit="1" customWidth="1"/>
    <col min="79" max="79" width="10.7265625" bestFit="1" customWidth="1"/>
  </cols>
  <sheetData>
    <row r="3" spans="1:5" x14ac:dyDescent="0.35">
      <c r="A3" s="12" t="s">
        <v>124</v>
      </c>
      <c r="B3" s="12" t="s">
        <v>1</v>
      </c>
      <c r="C3" s="2"/>
      <c r="D3" s="2"/>
      <c r="E3" s="2"/>
    </row>
    <row r="4" spans="1:5" x14ac:dyDescent="0.35">
      <c r="A4" s="12" t="s">
        <v>120</v>
      </c>
      <c r="B4" s="2" t="s">
        <v>121</v>
      </c>
      <c r="C4" s="2" t="s">
        <v>122</v>
      </c>
      <c r="D4" s="2" t="s">
        <v>123</v>
      </c>
      <c r="E4" s="2" t="s">
        <v>119</v>
      </c>
    </row>
    <row r="5" spans="1:5" x14ac:dyDescent="0.35">
      <c r="A5" s="13">
        <v>25</v>
      </c>
      <c r="B5" s="14"/>
      <c r="C5" s="14">
        <v>4</v>
      </c>
      <c r="D5" s="14">
        <v>2</v>
      </c>
      <c r="E5" s="14">
        <v>6</v>
      </c>
    </row>
    <row r="6" spans="1:5" x14ac:dyDescent="0.35">
      <c r="A6" s="13">
        <v>26</v>
      </c>
      <c r="B6" s="14"/>
      <c r="C6" s="14">
        <v>1</v>
      </c>
      <c r="D6" s="14">
        <v>1</v>
      </c>
      <c r="E6" s="14">
        <v>2</v>
      </c>
    </row>
    <row r="7" spans="1:5" x14ac:dyDescent="0.35">
      <c r="A7" s="13">
        <v>27</v>
      </c>
      <c r="B7" s="14"/>
      <c r="C7" s="14">
        <v>3</v>
      </c>
      <c r="D7" s="14"/>
      <c r="E7" s="14">
        <v>3</v>
      </c>
    </row>
    <row r="8" spans="1:5" x14ac:dyDescent="0.35">
      <c r="A8" s="13">
        <v>28</v>
      </c>
      <c r="B8" s="14"/>
      <c r="C8" s="14">
        <v>3</v>
      </c>
      <c r="D8" s="14"/>
      <c r="E8" s="14">
        <v>3</v>
      </c>
    </row>
    <row r="9" spans="1:5" x14ac:dyDescent="0.35">
      <c r="A9" s="13">
        <v>29</v>
      </c>
      <c r="B9" s="14"/>
      <c r="C9" s="14">
        <v>1</v>
      </c>
      <c r="D9" s="14">
        <v>1</v>
      </c>
      <c r="E9" s="14">
        <v>2</v>
      </c>
    </row>
    <row r="10" spans="1:5" x14ac:dyDescent="0.35">
      <c r="A10" s="13">
        <v>30</v>
      </c>
      <c r="B10" s="14"/>
      <c r="C10" s="14">
        <v>3</v>
      </c>
      <c r="D10" s="14">
        <v>1</v>
      </c>
      <c r="E10" s="14">
        <v>4</v>
      </c>
    </row>
    <row r="11" spans="1:5" x14ac:dyDescent="0.35">
      <c r="A11" s="13">
        <v>31</v>
      </c>
      <c r="B11" s="14"/>
      <c r="C11" s="14">
        <v>2</v>
      </c>
      <c r="D11" s="14"/>
      <c r="E11" s="14">
        <v>2</v>
      </c>
    </row>
    <row r="12" spans="1:5" x14ac:dyDescent="0.35">
      <c r="A12" s="13">
        <v>32</v>
      </c>
      <c r="B12" s="14">
        <v>1</v>
      </c>
      <c r="C12" s="14">
        <v>3</v>
      </c>
      <c r="D12" s="14">
        <v>2</v>
      </c>
      <c r="E12" s="14">
        <v>6</v>
      </c>
    </row>
    <row r="13" spans="1:5" x14ac:dyDescent="0.35">
      <c r="A13" s="13">
        <v>33</v>
      </c>
      <c r="B13" s="14"/>
      <c r="C13" s="14"/>
      <c r="D13" s="14">
        <v>1</v>
      </c>
      <c r="E13" s="14">
        <v>1</v>
      </c>
    </row>
    <row r="14" spans="1:5" x14ac:dyDescent="0.35">
      <c r="A14" s="13">
        <v>34</v>
      </c>
      <c r="B14" s="14"/>
      <c r="C14" s="14">
        <v>5</v>
      </c>
      <c r="D14" s="14"/>
      <c r="E14" s="14">
        <v>5</v>
      </c>
    </row>
    <row r="15" spans="1:5" x14ac:dyDescent="0.35">
      <c r="A15" s="13">
        <v>35</v>
      </c>
      <c r="B15" s="14"/>
      <c r="C15" s="14">
        <v>3</v>
      </c>
      <c r="D15" s="14">
        <v>1</v>
      </c>
      <c r="E15" s="14">
        <v>4</v>
      </c>
    </row>
    <row r="16" spans="1:5" x14ac:dyDescent="0.35">
      <c r="A16" s="13">
        <v>36</v>
      </c>
      <c r="B16" s="14"/>
      <c r="C16" s="14"/>
      <c r="D16" s="14">
        <v>1</v>
      </c>
      <c r="E16" s="14">
        <v>1</v>
      </c>
    </row>
    <row r="17" spans="1:5" x14ac:dyDescent="0.35">
      <c r="A17" s="13">
        <v>38</v>
      </c>
      <c r="B17" s="14"/>
      <c r="C17" s="14">
        <v>4</v>
      </c>
      <c r="D17" s="14"/>
      <c r="E17" s="14">
        <v>4</v>
      </c>
    </row>
    <row r="18" spans="1:5" x14ac:dyDescent="0.35">
      <c r="A18" s="13">
        <v>39</v>
      </c>
      <c r="B18" s="14"/>
      <c r="C18" s="14">
        <v>2</v>
      </c>
      <c r="D18" s="14"/>
      <c r="E18" s="14">
        <v>2</v>
      </c>
    </row>
    <row r="19" spans="1:5" x14ac:dyDescent="0.35">
      <c r="A19" s="13">
        <v>40</v>
      </c>
      <c r="B19" s="14"/>
      <c r="C19" s="14">
        <v>2</v>
      </c>
      <c r="D19" s="14"/>
      <c r="E19" s="14">
        <v>2</v>
      </c>
    </row>
    <row r="20" spans="1:5" x14ac:dyDescent="0.35">
      <c r="A20" s="13">
        <v>41</v>
      </c>
      <c r="B20" s="14"/>
      <c r="C20" s="14">
        <v>1</v>
      </c>
      <c r="D20" s="14"/>
      <c r="E20" s="14">
        <v>1</v>
      </c>
    </row>
    <row r="21" spans="1:5" x14ac:dyDescent="0.35">
      <c r="A21" s="13">
        <v>42</v>
      </c>
      <c r="B21" s="14"/>
      <c r="C21" s="14">
        <v>1</v>
      </c>
      <c r="D21" s="14">
        <v>1</v>
      </c>
      <c r="E21" s="14">
        <v>2</v>
      </c>
    </row>
    <row r="22" spans="1:5" x14ac:dyDescent="0.35">
      <c r="A22" s="13">
        <v>43</v>
      </c>
      <c r="B22" s="14"/>
      <c r="C22" s="14">
        <v>1</v>
      </c>
      <c r="D22" s="14">
        <v>1</v>
      </c>
      <c r="E22" s="14">
        <v>2</v>
      </c>
    </row>
    <row r="23" spans="1:5" x14ac:dyDescent="0.35">
      <c r="A23" s="13">
        <v>44</v>
      </c>
      <c r="B23" s="14"/>
      <c r="C23" s="14">
        <v>3</v>
      </c>
      <c r="D23" s="14"/>
      <c r="E23" s="14">
        <v>3</v>
      </c>
    </row>
    <row r="24" spans="1:5" x14ac:dyDescent="0.35">
      <c r="A24" s="13">
        <v>45</v>
      </c>
      <c r="B24" s="14"/>
      <c r="C24" s="14">
        <v>4</v>
      </c>
      <c r="D24" s="14"/>
      <c r="E24" s="14">
        <v>4</v>
      </c>
    </row>
    <row r="25" spans="1:5" x14ac:dyDescent="0.35">
      <c r="A25" s="13">
        <v>46</v>
      </c>
      <c r="B25" s="14"/>
      <c r="C25" s="14">
        <v>5</v>
      </c>
      <c r="D25" s="14"/>
      <c r="E25" s="14">
        <v>5</v>
      </c>
    </row>
    <row r="26" spans="1:5" x14ac:dyDescent="0.35">
      <c r="A26" s="13">
        <v>47</v>
      </c>
      <c r="B26" s="14"/>
      <c r="C26" s="14">
        <v>2</v>
      </c>
      <c r="D26" s="14"/>
      <c r="E26" s="14">
        <v>2</v>
      </c>
    </row>
    <row r="27" spans="1:5" x14ac:dyDescent="0.35">
      <c r="A27" s="13">
        <v>48</v>
      </c>
      <c r="B27" s="14"/>
      <c r="C27" s="14">
        <v>3</v>
      </c>
      <c r="D27" s="14"/>
      <c r="E27" s="14">
        <v>3</v>
      </c>
    </row>
    <row r="28" spans="1:5" x14ac:dyDescent="0.35">
      <c r="A28" s="13">
        <v>49</v>
      </c>
      <c r="B28" s="14"/>
      <c r="C28" s="14">
        <v>4</v>
      </c>
      <c r="D28" s="14"/>
      <c r="E28" s="14">
        <v>4</v>
      </c>
    </row>
    <row r="29" spans="1:5" x14ac:dyDescent="0.35">
      <c r="A29" s="13">
        <v>50</v>
      </c>
      <c r="B29" s="14"/>
      <c r="C29" s="14">
        <v>3</v>
      </c>
      <c r="D29" s="14"/>
      <c r="E29" s="14">
        <v>3</v>
      </c>
    </row>
    <row r="30" spans="1:5" x14ac:dyDescent="0.35">
      <c r="A30" s="13">
        <v>51</v>
      </c>
      <c r="B30" s="14"/>
      <c r="C30" s="14">
        <v>1</v>
      </c>
      <c r="D30" s="14"/>
      <c r="E30" s="14">
        <v>1</v>
      </c>
    </row>
    <row r="31" spans="1:5" x14ac:dyDescent="0.35">
      <c r="A31" s="13">
        <v>52</v>
      </c>
      <c r="B31" s="14"/>
      <c r="C31" s="14">
        <v>5</v>
      </c>
      <c r="D31" s="14"/>
      <c r="E31" s="14">
        <v>5</v>
      </c>
    </row>
    <row r="32" spans="1:5" x14ac:dyDescent="0.35">
      <c r="A32" s="13">
        <v>53</v>
      </c>
      <c r="B32" s="14"/>
      <c r="C32" s="14">
        <v>2</v>
      </c>
      <c r="D32" s="14"/>
      <c r="E32" s="14">
        <v>2</v>
      </c>
    </row>
    <row r="33" spans="1:5" x14ac:dyDescent="0.35">
      <c r="A33" s="13">
        <v>54</v>
      </c>
      <c r="B33" s="14"/>
      <c r="C33" s="14">
        <v>2</v>
      </c>
      <c r="D33" s="14"/>
      <c r="E33" s="14">
        <v>2</v>
      </c>
    </row>
    <row r="34" spans="1:5" x14ac:dyDescent="0.35">
      <c r="A34" s="13">
        <v>55</v>
      </c>
      <c r="B34" s="14"/>
      <c r="C34" s="14">
        <v>1</v>
      </c>
      <c r="D34" s="14"/>
      <c r="E34" s="14">
        <v>1</v>
      </c>
    </row>
    <row r="35" spans="1:5" x14ac:dyDescent="0.35">
      <c r="A35" s="13">
        <v>56</v>
      </c>
      <c r="B35" s="14"/>
      <c r="C35" s="14">
        <v>6</v>
      </c>
      <c r="D35" s="14"/>
      <c r="E35" s="14">
        <v>6</v>
      </c>
    </row>
    <row r="36" spans="1:5" x14ac:dyDescent="0.35">
      <c r="A36" s="13">
        <v>57</v>
      </c>
      <c r="B36" s="14"/>
      <c r="C36" s="14">
        <v>4</v>
      </c>
      <c r="D36" s="14"/>
      <c r="E36" s="14">
        <v>4</v>
      </c>
    </row>
    <row r="37" spans="1:5" x14ac:dyDescent="0.35">
      <c r="A37" s="13">
        <v>58</v>
      </c>
      <c r="B37" s="14"/>
      <c r="C37" s="14">
        <v>1</v>
      </c>
      <c r="D37" s="14"/>
      <c r="E37" s="14">
        <v>1</v>
      </c>
    </row>
    <row r="38" spans="1:5" x14ac:dyDescent="0.35">
      <c r="A38" s="13">
        <v>59</v>
      </c>
      <c r="B38" s="14"/>
      <c r="C38" s="14">
        <v>2</v>
      </c>
      <c r="D38" s="14"/>
      <c r="E38" s="14">
        <v>2</v>
      </c>
    </row>
    <row r="39" spans="1:5" x14ac:dyDescent="0.35">
      <c r="A39" s="13" t="s">
        <v>119</v>
      </c>
      <c r="B39" s="14">
        <v>1</v>
      </c>
      <c r="C39" s="14">
        <v>87</v>
      </c>
      <c r="D39" s="14">
        <v>12</v>
      </c>
      <c r="E39" s="14">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8FCC7-F9F4-4114-A106-C5CD99FBFD2C}">
  <dimension ref="A3:B33"/>
  <sheetViews>
    <sheetView workbookViewId="0">
      <selection activeCell="F19" sqref="F19"/>
    </sheetView>
  </sheetViews>
  <sheetFormatPr defaultRowHeight="14.5" x14ac:dyDescent="0.35"/>
  <cols>
    <col min="1" max="1" width="36.26953125" bestFit="1" customWidth="1"/>
    <col min="2" max="2" width="22.54296875" customWidth="1"/>
    <col min="3" max="7" width="11.81640625" bestFit="1" customWidth="1"/>
  </cols>
  <sheetData>
    <row r="3" spans="1:2" x14ac:dyDescent="0.35">
      <c r="A3" s="12" t="s">
        <v>128</v>
      </c>
      <c r="B3" s="2" t="s">
        <v>125</v>
      </c>
    </row>
    <row r="4" spans="1:2" x14ac:dyDescent="0.35">
      <c r="A4" s="13">
        <v>0</v>
      </c>
      <c r="B4" s="14">
        <v>36.551941571741651</v>
      </c>
    </row>
    <row r="5" spans="1:2" x14ac:dyDescent="0.35">
      <c r="A5" s="18">
        <v>0</v>
      </c>
      <c r="B5" s="19">
        <v>38.540708244737026</v>
      </c>
    </row>
    <row r="6" spans="1:2" x14ac:dyDescent="0.35">
      <c r="A6" s="18">
        <v>1</v>
      </c>
      <c r="B6" s="19">
        <v>35.465609140050866</v>
      </c>
    </row>
    <row r="7" spans="1:2" x14ac:dyDescent="0.35">
      <c r="A7" s="18">
        <v>2</v>
      </c>
      <c r="B7" s="19">
        <v>35.37820967148113</v>
      </c>
    </row>
    <row r="8" spans="1:2" x14ac:dyDescent="0.35">
      <c r="A8" s="18">
        <v>3</v>
      </c>
      <c r="B8" s="19">
        <v>34.413518886679917</v>
      </c>
    </row>
    <row r="9" spans="1:2" x14ac:dyDescent="0.35">
      <c r="A9" s="18">
        <v>4</v>
      </c>
      <c r="B9" s="19">
        <v>38.622379224075587</v>
      </c>
    </row>
    <row r="10" spans="1:2" x14ac:dyDescent="0.35">
      <c r="A10" s="13">
        <v>1</v>
      </c>
      <c r="B10" s="14">
        <v>34.613986683117666</v>
      </c>
    </row>
    <row r="11" spans="1:2" x14ac:dyDescent="0.35">
      <c r="A11" s="18">
        <v>0</v>
      </c>
      <c r="B11" s="19">
        <v>35.2021813700024</v>
      </c>
    </row>
    <row r="12" spans="1:2" x14ac:dyDescent="0.35">
      <c r="A12" s="18">
        <v>1</v>
      </c>
      <c r="B12" s="19">
        <v>32.720673822155412</v>
      </c>
    </row>
    <row r="13" spans="1:2" x14ac:dyDescent="0.35">
      <c r="A13" s="18">
        <v>2</v>
      </c>
      <c r="B13" s="19">
        <v>35.198430026105711</v>
      </c>
    </row>
    <row r="14" spans="1:2" x14ac:dyDescent="0.35">
      <c r="A14" s="18">
        <v>3</v>
      </c>
      <c r="B14" s="19">
        <v>32.574379900561972</v>
      </c>
    </row>
    <row r="15" spans="1:2" x14ac:dyDescent="0.35">
      <c r="A15" s="18">
        <v>4</v>
      </c>
      <c r="B15" s="19">
        <v>38.067792144521299</v>
      </c>
    </row>
    <row r="16" spans="1:2" x14ac:dyDescent="0.35">
      <c r="A16" s="13">
        <v>2</v>
      </c>
      <c r="B16" s="14">
        <v>34.895862625003986</v>
      </c>
    </row>
    <row r="17" spans="1:2" x14ac:dyDescent="0.35">
      <c r="A17" s="18">
        <v>0</v>
      </c>
      <c r="B17" s="19">
        <v>37.553743354101236</v>
      </c>
    </row>
    <row r="18" spans="1:2" x14ac:dyDescent="0.35">
      <c r="A18" s="18">
        <v>1</v>
      </c>
      <c r="B18" s="19">
        <v>29.289003597970737</v>
      </c>
    </row>
    <row r="19" spans="1:2" x14ac:dyDescent="0.35">
      <c r="A19" s="18">
        <v>2</v>
      </c>
      <c r="B19" s="19">
        <v>34.726151764113013</v>
      </c>
    </row>
    <row r="20" spans="1:2" x14ac:dyDescent="0.35">
      <c r="A20" s="18">
        <v>4</v>
      </c>
      <c r="B20" s="19">
        <v>35.805750345195847</v>
      </c>
    </row>
    <row r="21" spans="1:2" x14ac:dyDescent="0.35">
      <c r="A21" s="13">
        <v>3</v>
      </c>
      <c r="B21" s="14">
        <v>35.354417385490514</v>
      </c>
    </row>
    <row r="22" spans="1:2" x14ac:dyDescent="0.35">
      <c r="A22" s="18">
        <v>0</v>
      </c>
      <c r="B22" s="19">
        <v>37.31549422906285</v>
      </c>
    </row>
    <row r="23" spans="1:2" x14ac:dyDescent="0.35">
      <c r="A23" s="18">
        <v>1</v>
      </c>
      <c r="B23" s="19">
        <v>32.388256320862666</v>
      </c>
    </row>
    <row r="24" spans="1:2" x14ac:dyDescent="0.35">
      <c r="A24" s="18">
        <v>2</v>
      </c>
      <c r="B24" s="19">
        <v>37.488429510355623</v>
      </c>
    </row>
    <row r="25" spans="1:2" x14ac:dyDescent="0.35">
      <c r="A25" s="18">
        <v>3</v>
      </c>
      <c r="B25" s="19">
        <v>36.533177397427039</v>
      </c>
    </row>
    <row r="26" spans="1:2" x14ac:dyDescent="0.35">
      <c r="A26" s="18">
        <v>4</v>
      </c>
      <c r="B26" s="19">
        <v>31.870527669353908</v>
      </c>
    </row>
    <row r="27" spans="1:2" x14ac:dyDescent="0.35">
      <c r="A27" s="13">
        <v>4</v>
      </c>
      <c r="B27" s="14">
        <v>34.823933862452137</v>
      </c>
    </row>
    <row r="28" spans="1:2" x14ac:dyDescent="0.35">
      <c r="A28" s="18">
        <v>0</v>
      </c>
      <c r="B28" s="19">
        <v>35.931993830122664</v>
      </c>
    </row>
    <row r="29" spans="1:2" x14ac:dyDescent="0.35">
      <c r="A29" s="18">
        <v>1</v>
      </c>
      <c r="B29" s="19">
        <v>34.70689957166492</v>
      </c>
    </row>
    <row r="30" spans="1:2" x14ac:dyDescent="0.35">
      <c r="A30" s="18">
        <v>2</v>
      </c>
      <c r="B30" s="19">
        <v>33.401141220012441</v>
      </c>
    </row>
    <row r="31" spans="1:2" x14ac:dyDescent="0.35">
      <c r="A31" s="18">
        <v>3</v>
      </c>
      <c r="B31" s="19">
        <v>33.278806689141497</v>
      </c>
    </row>
    <row r="32" spans="1:2" x14ac:dyDescent="0.35">
      <c r="A32" s="18">
        <v>4</v>
      </c>
      <c r="B32" s="19">
        <v>44.35214446952596</v>
      </c>
    </row>
    <row r="33" spans="1:2" x14ac:dyDescent="0.35">
      <c r="A33" s="13" t="s">
        <v>119</v>
      </c>
      <c r="B33" s="14">
        <v>35.172883994333709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4D99-2603-42E5-BB16-1B66EB4F9A1E}">
  <dimension ref="A3:H32"/>
  <sheetViews>
    <sheetView topLeftCell="A14" workbookViewId="0">
      <selection activeCell="G28" sqref="G28"/>
    </sheetView>
  </sheetViews>
  <sheetFormatPr defaultRowHeight="14.5" x14ac:dyDescent="0.35"/>
  <cols>
    <col min="1" max="1" width="26.6328125" bestFit="1" customWidth="1"/>
    <col min="2" max="2" width="15.26953125" bestFit="1" customWidth="1"/>
    <col min="3" max="5" width="11.81640625" bestFit="1" customWidth="1"/>
    <col min="7" max="7" width="12.36328125" bestFit="1" customWidth="1"/>
    <col min="8" max="8" width="20.453125" bestFit="1" customWidth="1"/>
  </cols>
  <sheetData>
    <row r="3" spans="1:5" x14ac:dyDescent="0.35">
      <c r="A3" s="22" t="s">
        <v>129</v>
      </c>
      <c r="B3" s="22" t="s">
        <v>127</v>
      </c>
      <c r="C3" s="22"/>
      <c r="D3" s="22"/>
      <c r="E3" s="22"/>
    </row>
    <row r="4" spans="1:5" x14ac:dyDescent="0.35">
      <c r="A4" s="22" t="s">
        <v>126</v>
      </c>
      <c r="B4" s="22" t="s">
        <v>121</v>
      </c>
      <c r="C4" s="22" t="s">
        <v>122</v>
      </c>
      <c r="D4" s="22" t="s">
        <v>123</v>
      </c>
      <c r="E4" s="22" t="s">
        <v>119</v>
      </c>
    </row>
    <row r="5" spans="1:5" x14ac:dyDescent="0.35">
      <c r="A5" s="20">
        <v>0.5</v>
      </c>
      <c r="B5" s="21"/>
      <c r="C5" s="21">
        <v>1.2</v>
      </c>
      <c r="D5" s="21">
        <v>0</v>
      </c>
      <c r="E5" s="21">
        <v>1</v>
      </c>
    </row>
    <row r="6" spans="1:5" x14ac:dyDescent="0.35">
      <c r="A6" s="20">
        <v>0.6</v>
      </c>
      <c r="B6" s="21"/>
      <c r="C6" s="21">
        <v>0.625</v>
      </c>
      <c r="D6" s="21">
        <v>0</v>
      </c>
      <c r="E6" s="21">
        <v>0.55555555555555558</v>
      </c>
    </row>
    <row r="7" spans="1:5" x14ac:dyDescent="0.35">
      <c r="A7" s="20">
        <v>0.7</v>
      </c>
      <c r="B7" s="21"/>
      <c r="C7" s="21">
        <v>0.75</v>
      </c>
      <c r="D7" s="21"/>
      <c r="E7" s="21">
        <v>0.75</v>
      </c>
    </row>
    <row r="8" spans="1:5" x14ac:dyDescent="0.35">
      <c r="A8" s="20">
        <v>0.8</v>
      </c>
      <c r="B8" s="21"/>
      <c r="C8" s="21">
        <v>0.41666666666666669</v>
      </c>
      <c r="D8" s="21">
        <v>0</v>
      </c>
      <c r="E8" s="21">
        <v>0.38461538461538464</v>
      </c>
    </row>
    <row r="9" spans="1:5" x14ac:dyDescent="0.35">
      <c r="A9" s="20">
        <v>0.9</v>
      </c>
      <c r="B9" s="21"/>
      <c r="C9" s="21">
        <v>0.42857142857142855</v>
      </c>
      <c r="D9" s="21">
        <v>0.5</v>
      </c>
      <c r="E9" s="21">
        <v>0.44444444444444442</v>
      </c>
    </row>
    <row r="10" spans="1:5" x14ac:dyDescent="0.35">
      <c r="A10" s="20">
        <v>1</v>
      </c>
      <c r="B10" s="21"/>
      <c r="C10" s="21">
        <v>1</v>
      </c>
      <c r="D10" s="21"/>
      <c r="E10" s="21">
        <v>1</v>
      </c>
    </row>
    <row r="11" spans="1:5" x14ac:dyDescent="0.35">
      <c r="A11" s="20">
        <v>1.1000000000000001</v>
      </c>
      <c r="B11" s="21"/>
      <c r="C11" s="21">
        <v>1.6666666666666667</v>
      </c>
      <c r="D11" s="21">
        <v>3</v>
      </c>
      <c r="E11" s="21">
        <v>2</v>
      </c>
    </row>
    <row r="12" spans="1:5" x14ac:dyDescent="0.35">
      <c r="A12" s="20">
        <v>1.2</v>
      </c>
      <c r="B12" s="21"/>
      <c r="C12" s="21">
        <v>2.25</v>
      </c>
      <c r="D12" s="21"/>
      <c r="E12" s="21">
        <v>2.25</v>
      </c>
    </row>
    <row r="13" spans="1:5" x14ac:dyDescent="0.35">
      <c r="A13" s="20">
        <v>1.3</v>
      </c>
      <c r="B13" s="21">
        <v>1</v>
      </c>
      <c r="C13" s="21">
        <v>1.6666666666666667</v>
      </c>
      <c r="D13" s="21">
        <v>2.5</v>
      </c>
      <c r="E13" s="21">
        <v>1.8333333333333333</v>
      </c>
    </row>
    <row r="14" spans="1:5" x14ac:dyDescent="0.35">
      <c r="A14" s="20">
        <v>1.4</v>
      </c>
      <c r="B14" s="21"/>
      <c r="C14" s="21">
        <v>1</v>
      </c>
      <c r="D14" s="21"/>
      <c r="E14" s="21">
        <v>1</v>
      </c>
    </row>
    <row r="15" spans="1:5" x14ac:dyDescent="0.35">
      <c r="A15" s="20">
        <v>1.5</v>
      </c>
      <c r="B15" s="21"/>
      <c r="C15" s="21">
        <v>1</v>
      </c>
      <c r="D15" s="21"/>
      <c r="E15" s="21">
        <v>1</v>
      </c>
    </row>
    <row r="16" spans="1:5" x14ac:dyDescent="0.35">
      <c r="A16" s="20">
        <v>1.6</v>
      </c>
      <c r="B16" s="21"/>
      <c r="C16" s="21">
        <v>2</v>
      </c>
      <c r="D16" s="21"/>
      <c r="E16" s="21">
        <v>2</v>
      </c>
    </row>
    <row r="17" spans="1:8" x14ac:dyDescent="0.35">
      <c r="A17" s="20">
        <v>1.7</v>
      </c>
      <c r="B17" s="21"/>
      <c r="C17" s="21">
        <v>1.6</v>
      </c>
      <c r="D17" s="21"/>
      <c r="E17" s="21">
        <v>1.6</v>
      </c>
    </row>
    <row r="18" spans="1:8" x14ac:dyDescent="0.35">
      <c r="A18" s="20">
        <v>1.8</v>
      </c>
      <c r="B18" s="21"/>
      <c r="C18" s="21">
        <v>2</v>
      </c>
      <c r="D18" s="21">
        <v>2</v>
      </c>
      <c r="E18" s="21">
        <v>2</v>
      </c>
    </row>
    <row r="19" spans="1:8" x14ac:dyDescent="0.35">
      <c r="A19" s="20">
        <v>1.9</v>
      </c>
      <c r="B19" s="21"/>
      <c r="C19" s="21">
        <v>2</v>
      </c>
      <c r="D19" s="21"/>
      <c r="E19" s="21">
        <v>2</v>
      </c>
    </row>
    <row r="20" spans="1:8" x14ac:dyDescent="0.35">
      <c r="A20" s="20">
        <v>2</v>
      </c>
      <c r="B20" s="21"/>
      <c r="C20" s="21">
        <v>1.4</v>
      </c>
      <c r="D20" s="21">
        <v>1</v>
      </c>
      <c r="E20" s="21">
        <v>1.3333333333333333</v>
      </c>
    </row>
    <row r="21" spans="1:8" x14ac:dyDescent="0.35">
      <c r="A21" s="20">
        <v>2.1</v>
      </c>
      <c r="B21" s="21"/>
      <c r="C21" s="21">
        <v>3</v>
      </c>
      <c r="D21" s="21"/>
      <c r="E21" s="21">
        <v>3</v>
      </c>
    </row>
    <row r="22" spans="1:8" x14ac:dyDescent="0.35">
      <c r="A22" s="20">
        <v>2.2000000000000002</v>
      </c>
      <c r="B22" s="21"/>
      <c r="C22" s="21">
        <v>2</v>
      </c>
      <c r="D22" s="21">
        <v>3</v>
      </c>
      <c r="E22" s="21">
        <v>2.5</v>
      </c>
    </row>
    <row r="23" spans="1:8" x14ac:dyDescent="0.35">
      <c r="A23" s="20">
        <v>2.2999999999999998</v>
      </c>
      <c r="B23" s="21"/>
      <c r="C23" s="21">
        <v>2</v>
      </c>
      <c r="D23" s="21"/>
      <c r="E23" s="21">
        <v>2</v>
      </c>
    </row>
    <row r="24" spans="1:8" x14ac:dyDescent="0.35">
      <c r="A24" s="20">
        <v>2.5</v>
      </c>
      <c r="B24" s="21"/>
      <c r="C24" s="21">
        <v>2</v>
      </c>
      <c r="D24" s="21"/>
      <c r="E24" s="21">
        <v>2</v>
      </c>
    </row>
    <row r="25" spans="1:8" x14ac:dyDescent="0.35">
      <c r="A25" s="20">
        <v>2.6</v>
      </c>
      <c r="B25" s="21"/>
      <c r="C25" s="21">
        <v>2</v>
      </c>
      <c r="D25" s="21">
        <v>2</v>
      </c>
      <c r="E25" s="21">
        <v>2</v>
      </c>
    </row>
    <row r="26" spans="1:8" x14ac:dyDescent="0.35">
      <c r="A26" s="20">
        <v>2.8</v>
      </c>
      <c r="B26" s="21"/>
      <c r="C26" s="21">
        <v>2</v>
      </c>
      <c r="D26" s="21"/>
      <c r="E26" s="21">
        <v>2</v>
      </c>
    </row>
    <row r="27" spans="1:8" x14ac:dyDescent="0.35">
      <c r="A27" s="20">
        <v>2.9</v>
      </c>
      <c r="B27" s="21"/>
      <c r="C27" s="21">
        <v>3</v>
      </c>
      <c r="D27" s="21"/>
      <c r="E27" s="21">
        <v>3</v>
      </c>
    </row>
    <row r="28" spans="1:8" x14ac:dyDescent="0.35">
      <c r="A28" s="20">
        <v>3</v>
      </c>
      <c r="B28" s="21"/>
      <c r="C28" s="21">
        <v>3</v>
      </c>
      <c r="D28" s="21"/>
      <c r="E28" s="21">
        <v>3</v>
      </c>
      <c r="G28" s="16" t="s">
        <v>126</v>
      </c>
      <c r="H28" t="s">
        <v>131</v>
      </c>
    </row>
    <row r="29" spans="1:8" x14ac:dyDescent="0.35">
      <c r="A29" s="20">
        <v>3.1</v>
      </c>
      <c r="B29" s="21"/>
      <c r="C29" s="21">
        <v>3</v>
      </c>
      <c r="D29" s="21"/>
      <c r="E29" s="21">
        <v>3</v>
      </c>
      <c r="G29" s="17" t="s">
        <v>11</v>
      </c>
      <c r="H29" s="15">
        <v>48</v>
      </c>
    </row>
    <row r="30" spans="1:8" x14ac:dyDescent="0.35">
      <c r="A30" s="20">
        <v>3.2</v>
      </c>
      <c r="B30" s="21"/>
      <c r="C30" s="21">
        <v>3</v>
      </c>
      <c r="D30" s="21"/>
      <c r="E30" s="21">
        <v>3</v>
      </c>
      <c r="G30" s="17" t="s">
        <v>19</v>
      </c>
      <c r="H30" s="15">
        <v>52</v>
      </c>
    </row>
    <row r="31" spans="1:8" x14ac:dyDescent="0.35">
      <c r="A31" s="20">
        <v>3.8</v>
      </c>
      <c r="B31" s="21"/>
      <c r="C31" s="21">
        <v>3</v>
      </c>
      <c r="D31" s="21"/>
      <c r="E31" s="21">
        <v>3</v>
      </c>
      <c r="G31" s="17" t="s">
        <v>119</v>
      </c>
      <c r="H31" s="15">
        <v>100</v>
      </c>
    </row>
    <row r="32" spans="1:8" x14ac:dyDescent="0.35">
      <c r="A32" s="20" t="s">
        <v>119</v>
      </c>
      <c r="B32" s="21">
        <v>1</v>
      </c>
      <c r="C32" s="21">
        <v>1.367816091954023</v>
      </c>
      <c r="D32" s="21">
        <v>1.4166666666666667</v>
      </c>
      <c r="E32" s="21">
        <v>1.37</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3024-5A61-4687-8414-1CE1B108F209}">
  <dimension ref="A3:G10"/>
  <sheetViews>
    <sheetView workbookViewId="0">
      <selection activeCell="A15" sqref="A15:XFD15"/>
    </sheetView>
  </sheetViews>
  <sheetFormatPr defaultRowHeight="14.5" x14ac:dyDescent="0.35"/>
  <cols>
    <col min="1" max="1" width="19.6328125" bestFit="1" customWidth="1"/>
    <col min="2" max="2" width="15.26953125" bestFit="1" customWidth="1"/>
    <col min="3" max="7" width="11.81640625" bestFit="1" customWidth="1"/>
  </cols>
  <sheetData>
    <row r="3" spans="1:7" x14ac:dyDescent="0.35">
      <c r="A3" s="16" t="s">
        <v>125</v>
      </c>
      <c r="B3" s="16" t="s">
        <v>127</v>
      </c>
    </row>
    <row r="4" spans="1:7" x14ac:dyDescent="0.35">
      <c r="A4" s="16" t="s">
        <v>130</v>
      </c>
      <c r="B4" t="s">
        <v>14</v>
      </c>
      <c r="C4" t="s">
        <v>20</v>
      </c>
      <c r="D4" t="s">
        <v>24</v>
      </c>
      <c r="E4" t="s">
        <v>12</v>
      </c>
      <c r="F4" t="s">
        <v>27</v>
      </c>
      <c r="G4" t="s">
        <v>119</v>
      </c>
    </row>
    <row r="5" spans="1:7" x14ac:dyDescent="0.35">
      <c r="A5" s="17">
        <v>0</v>
      </c>
      <c r="B5" s="15">
        <v>36.065298879302361</v>
      </c>
      <c r="C5" s="15">
        <v>35.407631484738701</v>
      </c>
      <c r="D5" s="15">
        <v>36.610143965628829</v>
      </c>
      <c r="E5" s="15">
        <v>32.681677794573304</v>
      </c>
      <c r="F5" s="15">
        <v>40.11713061988376</v>
      </c>
      <c r="G5" s="15">
        <v>36.551941571741651</v>
      </c>
    </row>
    <row r="6" spans="1:7" x14ac:dyDescent="0.35">
      <c r="A6" s="17">
        <v>1</v>
      </c>
      <c r="B6" s="15">
        <v>33.735253742281962</v>
      </c>
      <c r="C6" s="15">
        <v>35.669772529688373</v>
      </c>
      <c r="D6" s="15">
        <v>33.760275100766407</v>
      </c>
      <c r="E6" s="15">
        <v>34.08318740781035</v>
      </c>
      <c r="F6" s="15">
        <v>37.895124848558297</v>
      </c>
      <c r="G6" s="15">
        <v>34.613986683117659</v>
      </c>
    </row>
    <row r="7" spans="1:7" x14ac:dyDescent="0.35">
      <c r="A7" s="17">
        <v>2</v>
      </c>
      <c r="B7" s="15">
        <v>37.17498477882728</v>
      </c>
      <c r="C7" s="15">
        <v>30.236266470641731</v>
      </c>
      <c r="D7" s="15">
        <v>32.138025433215198</v>
      </c>
      <c r="E7" s="15">
        <v>33.44100085134081</v>
      </c>
      <c r="F7" s="15">
        <v>38.19229742878445</v>
      </c>
      <c r="G7" s="15">
        <v>34.895862625003986</v>
      </c>
    </row>
    <row r="8" spans="1:7" x14ac:dyDescent="0.35">
      <c r="A8" s="17">
        <v>3</v>
      </c>
      <c r="B8" s="15">
        <v>36.856855103706799</v>
      </c>
      <c r="C8" s="15">
        <v>33.624746426608645</v>
      </c>
      <c r="D8" s="15">
        <v>35.746056423427007</v>
      </c>
      <c r="E8" s="15">
        <v>35.897899743390091</v>
      </c>
      <c r="F8" s="15">
        <v>28.051948051948052</v>
      </c>
      <c r="G8" s="15">
        <v>35.354417385490514</v>
      </c>
    </row>
    <row r="9" spans="1:7" x14ac:dyDescent="0.35">
      <c r="A9" s="17">
        <v>4</v>
      </c>
      <c r="B9" s="15">
        <v>31.163382751267022</v>
      </c>
      <c r="C9" s="15">
        <v>33.002382385897548</v>
      </c>
      <c r="D9" s="15">
        <v>33.374249956840295</v>
      </c>
      <c r="E9" s="15">
        <v>39.680149670298228</v>
      </c>
      <c r="F9" s="15">
        <v>38.083629847710874</v>
      </c>
      <c r="G9" s="15">
        <v>34.82393386245213</v>
      </c>
    </row>
    <row r="10" spans="1:7" x14ac:dyDescent="0.35">
      <c r="A10" s="17" t="s">
        <v>119</v>
      </c>
      <c r="B10" s="15">
        <v>34.796722798713091</v>
      </c>
      <c r="C10" s="15">
        <v>33.90860459356378</v>
      </c>
      <c r="D10" s="15">
        <v>34.331942786164184</v>
      </c>
      <c r="E10" s="15">
        <v>35.822632931701968</v>
      </c>
      <c r="F10" s="15">
        <v>37.92123935086456</v>
      </c>
      <c r="G10" s="15">
        <v>35.172883994333709</v>
      </c>
    </row>
  </sheetData>
  <conditionalFormatting pivot="1" sqref="B5:B10">
    <cfRule type="dataBar" priority="6">
      <dataBar>
        <cfvo type="min"/>
        <cfvo type="max"/>
        <color rgb="FFFF555A"/>
      </dataBar>
      <extLst>
        <ext xmlns:x14="http://schemas.microsoft.com/office/spreadsheetml/2009/9/main" uri="{B025F937-C7B1-47D3-B67F-A62EFF666E3E}">
          <x14:id>{27A19763-2FD5-4E59-AF0A-702315603B99}</x14:id>
        </ext>
      </extLst>
    </cfRule>
  </conditionalFormatting>
  <conditionalFormatting sqref="C4:C9">
    <cfRule type="dataBar" priority="5">
      <dataBar>
        <cfvo type="min"/>
        <cfvo type="max"/>
        <color rgb="FF63C384"/>
      </dataBar>
      <extLst>
        <ext xmlns:x14="http://schemas.microsoft.com/office/spreadsheetml/2009/9/main" uri="{B025F937-C7B1-47D3-B67F-A62EFF666E3E}">
          <x14:id>{8C047D64-C5AB-44E7-A632-CE6D52D655C8}</x14:id>
        </ext>
      </extLst>
    </cfRule>
  </conditionalFormatting>
  <conditionalFormatting pivot="1" sqref="D5:D10">
    <cfRule type="dataBar" priority="4">
      <dataBar>
        <cfvo type="min"/>
        <cfvo type="max"/>
        <color rgb="FFFFB628"/>
      </dataBar>
      <extLst>
        <ext xmlns:x14="http://schemas.microsoft.com/office/spreadsheetml/2009/9/main" uri="{B025F937-C7B1-47D3-B67F-A62EFF666E3E}">
          <x14:id>{FEBEC27E-8AB6-43FD-B58C-90FB79D4BE7D}</x14:id>
        </ext>
      </extLst>
    </cfRule>
  </conditionalFormatting>
  <conditionalFormatting sqref="E4:E10">
    <cfRule type="dataBar" priority="3">
      <dataBar>
        <cfvo type="min"/>
        <cfvo type="max"/>
        <color rgb="FFD6007B"/>
      </dataBar>
      <extLst>
        <ext xmlns:x14="http://schemas.microsoft.com/office/spreadsheetml/2009/9/main" uri="{B025F937-C7B1-47D3-B67F-A62EFF666E3E}">
          <x14:id>{20E754D8-9AD5-41ED-9D56-62BF5087CAAD}</x14:id>
        </ext>
      </extLst>
    </cfRule>
  </conditionalFormatting>
  <conditionalFormatting sqref="F4:F10">
    <cfRule type="dataBar" priority="2">
      <dataBar>
        <cfvo type="min"/>
        <cfvo type="max"/>
        <color rgb="FF638EC6"/>
      </dataBar>
      <extLst>
        <ext xmlns:x14="http://schemas.microsoft.com/office/spreadsheetml/2009/9/main" uri="{B025F937-C7B1-47D3-B67F-A62EFF666E3E}">
          <x14:id>{B08515A8-891A-4A23-90D7-273C5D987E3D}</x14:id>
        </ext>
      </extLst>
    </cfRule>
  </conditionalFormatting>
  <conditionalFormatting sqref="G4:G10">
    <cfRule type="dataBar" priority="1">
      <dataBar>
        <cfvo type="min"/>
        <cfvo type="max"/>
        <color rgb="FFFFB628"/>
      </dataBar>
      <extLst>
        <ext xmlns:x14="http://schemas.microsoft.com/office/spreadsheetml/2009/9/main" uri="{B025F937-C7B1-47D3-B67F-A62EFF666E3E}">
          <x14:id>{9D737C1D-F7F0-4955-959A-9A05CE04BFD5}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7A19763-2FD5-4E59-AF0A-702315603B99}">
            <x14:dataBar minLength="0" maxLength="100" border="1" negativeBarBorderColorSameAsPositive="0">
              <x14:cfvo type="autoMin"/>
              <x14:cfvo type="autoMax"/>
              <x14:borderColor rgb="FFFF555A"/>
              <x14:negativeFillColor rgb="FFFF0000"/>
              <x14:negativeBorderColor rgb="FFFF0000"/>
              <x14:axisColor rgb="FF000000"/>
            </x14:dataBar>
          </x14:cfRule>
          <xm:sqref>B5:B10</xm:sqref>
        </x14:conditionalFormatting>
        <x14:conditionalFormatting xmlns:xm="http://schemas.microsoft.com/office/excel/2006/main">
          <x14:cfRule type="dataBar" id="{8C047D64-C5AB-44E7-A632-CE6D52D655C8}">
            <x14:dataBar minLength="0" maxLength="100" border="1" negativeBarBorderColorSameAsPositive="0">
              <x14:cfvo type="autoMin"/>
              <x14:cfvo type="autoMax"/>
              <x14:borderColor rgb="FF63C384"/>
              <x14:negativeFillColor rgb="FFFF0000"/>
              <x14:negativeBorderColor rgb="FFFF0000"/>
              <x14:axisColor rgb="FF000000"/>
            </x14:dataBar>
          </x14:cfRule>
          <xm:sqref>C4:C9</xm:sqref>
        </x14:conditionalFormatting>
        <x14:conditionalFormatting xmlns:xm="http://schemas.microsoft.com/office/excel/2006/main" pivot="1">
          <x14:cfRule type="dataBar" id="{FEBEC27E-8AB6-43FD-B58C-90FB79D4BE7D}">
            <x14:dataBar minLength="0" maxLength="100" border="1" negativeBarBorderColorSameAsPositive="0">
              <x14:cfvo type="autoMin"/>
              <x14:cfvo type="autoMax"/>
              <x14:borderColor rgb="FFFFB628"/>
              <x14:negativeFillColor rgb="FFFF0000"/>
              <x14:negativeBorderColor rgb="FFFF0000"/>
              <x14:axisColor rgb="FF000000"/>
            </x14:dataBar>
          </x14:cfRule>
          <xm:sqref>D5:D10</xm:sqref>
        </x14:conditionalFormatting>
        <x14:conditionalFormatting xmlns:xm="http://schemas.microsoft.com/office/excel/2006/main">
          <x14:cfRule type="dataBar" id="{20E754D8-9AD5-41ED-9D56-62BF5087CAAD}">
            <x14:dataBar minLength="0" maxLength="100" border="1" negativeBarBorderColorSameAsPositive="0">
              <x14:cfvo type="autoMin"/>
              <x14:cfvo type="autoMax"/>
              <x14:borderColor rgb="FFD6007B"/>
              <x14:negativeFillColor rgb="FFFF0000"/>
              <x14:negativeBorderColor rgb="FFFF0000"/>
              <x14:axisColor rgb="FF000000"/>
            </x14:dataBar>
          </x14:cfRule>
          <xm:sqref>E4:E10</xm:sqref>
        </x14:conditionalFormatting>
        <x14:conditionalFormatting xmlns:xm="http://schemas.microsoft.com/office/excel/2006/main">
          <x14:cfRule type="dataBar" id="{B08515A8-891A-4A23-90D7-273C5D987E3D}">
            <x14:dataBar minLength="0" maxLength="100" gradient="0">
              <x14:cfvo type="autoMin"/>
              <x14:cfvo type="autoMax"/>
              <x14:negativeFillColor rgb="FFFF0000"/>
              <x14:axisColor rgb="FF000000"/>
            </x14:dataBar>
          </x14:cfRule>
          <xm:sqref>F4:F10</xm:sqref>
        </x14:conditionalFormatting>
        <x14:conditionalFormatting xmlns:xm="http://schemas.microsoft.com/office/excel/2006/main">
          <x14:cfRule type="dataBar" id="{9D737C1D-F7F0-4955-959A-9A05CE04BFD5}">
            <x14:dataBar minLength="0" maxLength="100" gradient="0">
              <x14:cfvo type="autoMin"/>
              <x14:cfvo type="autoMax"/>
              <x14:negativeFillColor rgb="FFFF0000"/>
              <x14:axisColor rgb="FF000000"/>
            </x14:dataBar>
          </x14:cfRule>
          <xm:sqref>G4:G10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517D-02AE-4317-B29A-BD57D54F1AEA}">
  <dimension ref="A1"/>
  <sheetViews>
    <sheetView topLeftCell="A14" workbookViewId="0">
      <selection activeCell="W22" sqref="W22"/>
    </sheetView>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90A4A-A6D1-406B-BCAE-53C5DB93A1B8}">
  <dimension ref="A1"/>
  <sheetViews>
    <sheetView topLeftCell="A3" workbookViewId="0">
      <selection activeCell="E8" sqref="E8"/>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602497-E422-4C8D-83B4-07D3970D16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Sheet4</vt:lpstr>
      <vt:lpstr>Cleaned_data</vt:lpstr>
      <vt:lpstr>Pivot_tables</vt:lpstr>
      <vt:lpstr>pivot_table2</vt:lpstr>
      <vt:lpstr>Bar chart</vt:lpstr>
      <vt:lpstr>pivot_table3</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2026-03-18T06:11:17Z</dcterms:created>
  <dcterms:modified xsi:type="dcterms:W3CDTF">2026-03-18T13:12:59Z</dcterms:modified>
</cp:coreProperties>
</file>