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13_ncr:1_{92B131D8-869A-4C07-BB41-7C16ED3404BD}" xr6:coauthVersionLast="36" xr6:coauthVersionMax="36" xr10:uidLastSave="{00000000-0000-0000-0000-000000000000}"/>
  <bookViews>
    <workbookView xWindow="0" yWindow="0" windowWidth="19200" windowHeight="6350" activeTab="2" xr2:uid="{33B5AFAD-3A26-4809-A7A3-498DABD71E4E}"/>
  </bookViews>
  <sheets>
    <sheet name=" Challenge_instructions" sheetId="1" r:id="rId1"/>
    <sheet name="Sales_Data" sheetId="2" r:id="rId2"/>
    <sheet name="Cleaned_data" sheetId="7" r:id="rId3"/>
    <sheet name="pivot tables" sheetId="10" r:id="rId4"/>
    <sheet name="charts" sheetId="9" r:id="rId5"/>
    <sheet name="insights" sheetId="12" r:id="rId6"/>
  </sheets>
  <definedNames>
    <definedName name="ExternalData_1" localSheetId="2" hidden="1">Cleaned_data!$A$4:$J$204</definedName>
  </definedNames>
  <calcPr calcId="191029"/>
  <pivotCaches>
    <pivotCache cacheId="3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53" i="7" l="1"/>
  <c r="K41" i="7"/>
  <c r="K7" i="7"/>
  <c r="K204" i="7"/>
  <c r="K200" i="7"/>
  <c r="K91" i="7"/>
  <c r="K173" i="7"/>
  <c r="K118" i="7"/>
  <c r="K168" i="7"/>
  <c r="K34" i="7"/>
  <c r="K51" i="7"/>
  <c r="K126" i="7"/>
  <c r="K87" i="7"/>
  <c r="K203" i="7"/>
  <c r="K48" i="7"/>
  <c r="K124" i="7"/>
  <c r="K37" i="7"/>
  <c r="K188" i="7"/>
  <c r="K94" i="7"/>
  <c r="K47" i="7"/>
  <c r="K13" i="7"/>
  <c r="K17" i="7"/>
  <c r="K150" i="7"/>
  <c r="K39" i="7"/>
  <c r="K24" i="7"/>
  <c r="K104" i="7"/>
  <c r="K50" i="7"/>
  <c r="K201" i="7"/>
  <c r="K140" i="7"/>
  <c r="K129" i="7"/>
  <c r="K148" i="7"/>
  <c r="K117" i="7"/>
  <c r="K53" i="7"/>
  <c r="K66" i="7"/>
  <c r="K33" i="7"/>
  <c r="K137" i="7"/>
  <c r="K197" i="7"/>
  <c r="K79" i="7"/>
  <c r="K191" i="7"/>
  <c r="K42" i="7"/>
  <c r="K80" i="7"/>
  <c r="K6" i="7"/>
  <c r="K145" i="7"/>
  <c r="K95" i="7"/>
  <c r="K113" i="7"/>
  <c r="K125" i="7"/>
  <c r="K146" i="7"/>
  <c r="K116" i="7"/>
  <c r="K181" i="7"/>
  <c r="K107" i="7"/>
  <c r="K14" i="7"/>
  <c r="K196" i="7"/>
  <c r="K123" i="7"/>
  <c r="K65" i="7"/>
  <c r="K132" i="7"/>
  <c r="K155" i="7"/>
  <c r="K77" i="7"/>
  <c r="K199" i="7"/>
  <c r="K180" i="7"/>
  <c r="K105" i="7"/>
  <c r="K161" i="7"/>
  <c r="K23" i="7"/>
  <c r="K16" i="7"/>
  <c r="K186" i="7"/>
  <c r="K149" i="7"/>
  <c r="K192" i="7"/>
  <c r="K73" i="7"/>
  <c r="K194" i="7"/>
  <c r="K165" i="7"/>
  <c r="K202" i="7"/>
  <c r="K169" i="7"/>
  <c r="K71" i="7"/>
  <c r="K193" i="7"/>
  <c r="K46" i="7"/>
  <c r="K127" i="7"/>
  <c r="K90" i="7"/>
  <c r="K171" i="7"/>
  <c r="K25" i="7"/>
  <c r="K136" i="7"/>
  <c r="K45" i="7"/>
  <c r="K163" i="7"/>
  <c r="K92" i="7"/>
  <c r="K96" i="7"/>
  <c r="K10" i="7"/>
  <c r="K32" i="7"/>
  <c r="K122" i="7"/>
  <c r="K61" i="7"/>
  <c r="K44" i="7"/>
  <c r="K11" i="7"/>
  <c r="K175" i="7"/>
  <c r="K166" i="7"/>
  <c r="K101" i="7"/>
  <c r="K111" i="7"/>
  <c r="K74" i="7"/>
  <c r="K30" i="7"/>
  <c r="K174" i="7"/>
  <c r="K143" i="7"/>
  <c r="K99" i="7"/>
  <c r="K185" i="7"/>
  <c r="K102" i="7"/>
  <c r="K89" i="7"/>
  <c r="K144" i="7"/>
  <c r="K100" i="7"/>
  <c r="K115" i="7"/>
  <c r="K56" i="7"/>
  <c r="K178" i="7"/>
  <c r="K15" i="7"/>
  <c r="K29" i="7"/>
  <c r="K63" i="7"/>
  <c r="K9" i="7"/>
  <c r="K139" i="7"/>
  <c r="K78" i="7"/>
  <c r="K106" i="7"/>
  <c r="K72" i="7"/>
  <c r="K187" i="7"/>
  <c r="K141" i="7"/>
  <c r="K8" i="7"/>
  <c r="K97" i="7"/>
  <c r="K38" i="7"/>
  <c r="K160" i="7"/>
  <c r="K12" i="7"/>
  <c r="K88" i="7"/>
  <c r="K177" i="7"/>
  <c r="K183" i="7"/>
  <c r="K151" i="7"/>
  <c r="K60" i="7"/>
  <c r="K84" i="7"/>
  <c r="K109" i="7"/>
  <c r="K164" i="7"/>
  <c r="K120" i="7"/>
  <c r="K112" i="7"/>
  <c r="K138" i="7"/>
  <c r="K52" i="7"/>
  <c r="K172" i="7"/>
  <c r="K154" i="7"/>
  <c r="K76" i="7"/>
  <c r="K83" i="7"/>
  <c r="K114" i="7"/>
  <c r="K68" i="7"/>
  <c r="K57" i="7"/>
  <c r="K152" i="7"/>
  <c r="K67" i="7"/>
  <c r="K131" i="7"/>
  <c r="K18" i="7"/>
  <c r="K36" i="7"/>
  <c r="K121" i="7"/>
  <c r="K147" i="7"/>
  <c r="K179" i="7"/>
  <c r="K128" i="7"/>
  <c r="K43" i="7"/>
  <c r="K81" i="7"/>
  <c r="K62" i="7"/>
  <c r="K82" i="7"/>
  <c r="K27" i="7"/>
  <c r="K142" i="7"/>
  <c r="K93" i="7"/>
  <c r="K28" i="7"/>
  <c r="K162" i="7"/>
  <c r="K108" i="7"/>
  <c r="K26" i="7"/>
  <c r="K19" i="7"/>
  <c r="K69" i="7"/>
  <c r="K31" i="7"/>
  <c r="K22" i="7"/>
  <c r="K35" i="7"/>
  <c r="K167" i="7"/>
  <c r="K170" i="7"/>
  <c r="K55" i="7"/>
  <c r="K158" i="7"/>
  <c r="K134" i="7"/>
  <c r="K190" i="7"/>
  <c r="K195" i="7"/>
  <c r="K103" i="7"/>
  <c r="K198" i="7"/>
  <c r="K64" i="7"/>
  <c r="K135" i="7"/>
  <c r="K75" i="7"/>
  <c r="K157" i="7"/>
  <c r="K40" i="7"/>
  <c r="K182" i="7"/>
  <c r="K86" i="7"/>
  <c r="K98" i="7"/>
  <c r="K59" i="7"/>
  <c r="K184" i="7"/>
  <c r="K156" i="7"/>
  <c r="K189" i="7"/>
  <c r="K54" i="7"/>
  <c r="K5" i="7"/>
  <c r="K70" i="7"/>
  <c r="K21" i="7"/>
  <c r="K20" i="7"/>
  <c r="K58" i="7"/>
  <c r="K110" i="7"/>
  <c r="K130" i="7"/>
  <c r="K85" i="7"/>
  <c r="K176" i="7"/>
  <c r="K159" i="7"/>
  <c r="K119" i="7"/>
  <c r="K49" i="7"/>
  <c r="K133" i="7"/>
  <c r="B153" i="7"/>
  <c r="B41" i="7"/>
  <c r="B7" i="7"/>
  <c r="B204" i="7"/>
  <c r="B200" i="7"/>
  <c r="B91" i="7"/>
  <c r="B173" i="7"/>
  <c r="B118" i="7"/>
  <c r="B168" i="7"/>
  <c r="B34" i="7"/>
  <c r="B51" i="7"/>
  <c r="B126" i="7"/>
  <c r="B87" i="7"/>
  <c r="B203" i="7"/>
  <c r="B48" i="7"/>
  <c r="B124" i="7"/>
  <c r="B37" i="7"/>
  <c r="B188" i="7"/>
  <c r="B94" i="7"/>
  <c r="B47" i="7"/>
  <c r="B13" i="7"/>
  <c r="B17" i="7"/>
  <c r="B150" i="7"/>
  <c r="B39" i="7"/>
  <c r="B24" i="7"/>
  <c r="B104" i="7"/>
  <c r="B50" i="7"/>
  <c r="B201" i="7"/>
  <c r="B140" i="7"/>
  <c r="B129" i="7"/>
  <c r="B148" i="7"/>
  <c r="B117" i="7"/>
  <c r="B53" i="7"/>
  <c r="B66" i="7"/>
  <c r="B33" i="7"/>
  <c r="B137" i="7"/>
  <c r="B197" i="7"/>
  <c r="B79" i="7"/>
  <c r="B191" i="7"/>
  <c r="B42" i="7"/>
  <c r="B80" i="7"/>
  <c r="B6" i="7"/>
  <c r="B145" i="7"/>
  <c r="B95" i="7"/>
  <c r="B113" i="7"/>
  <c r="B125" i="7"/>
  <c r="B146" i="7"/>
  <c r="B116" i="7"/>
  <c r="B181" i="7"/>
  <c r="B107" i="7"/>
  <c r="B14" i="7"/>
  <c r="B196" i="7"/>
  <c r="B123" i="7"/>
  <c r="B65" i="7"/>
  <c r="B132" i="7"/>
  <c r="B155" i="7"/>
  <c r="B77" i="7"/>
  <c r="B199" i="7"/>
  <c r="B180" i="7"/>
  <c r="B105" i="7"/>
  <c r="B161" i="7"/>
  <c r="B23" i="7"/>
  <c r="B16" i="7"/>
  <c r="B186" i="7"/>
  <c r="B149" i="7"/>
  <c r="B192" i="7"/>
  <c r="B73" i="7"/>
  <c r="B194" i="7"/>
  <c r="B165" i="7"/>
  <c r="B202" i="7"/>
  <c r="B169" i="7"/>
  <c r="B71" i="7"/>
  <c r="B193" i="7"/>
  <c r="B46" i="7"/>
  <c r="B127" i="7"/>
  <c r="B90" i="7"/>
  <c r="B171" i="7"/>
  <c r="B25" i="7"/>
  <c r="B136" i="7"/>
  <c r="B45" i="7"/>
  <c r="B163" i="7"/>
  <c r="B92" i="7"/>
  <c r="B96" i="7"/>
  <c r="B10" i="7"/>
  <c r="B32" i="7"/>
  <c r="B122" i="7"/>
  <c r="B61" i="7"/>
  <c r="B44" i="7"/>
  <c r="B11" i="7"/>
  <c r="B175" i="7"/>
  <c r="B166" i="7"/>
  <c r="B101" i="7"/>
  <c r="B111" i="7"/>
  <c r="B74" i="7"/>
  <c r="B30" i="7"/>
  <c r="B174" i="7"/>
  <c r="B143" i="7"/>
  <c r="B99" i="7"/>
  <c r="B185" i="7"/>
  <c r="B102" i="7"/>
  <c r="B89" i="7"/>
  <c r="B144" i="7"/>
  <c r="B100" i="7"/>
  <c r="B115" i="7"/>
  <c r="B56" i="7"/>
  <c r="B178" i="7"/>
  <c r="B15" i="7"/>
  <c r="B29" i="7"/>
  <c r="B63" i="7"/>
  <c r="B9" i="7"/>
  <c r="B139" i="7"/>
  <c r="B78" i="7"/>
  <c r="B106" i="7"/>
  <c r="B72" i="7"/>
  <c r="B187" i="7"/>
  <c r="B141" i="7"/>
  <c r="B8" i="7"/>
  <c r="B97" i="7"/>
  <c r="B38" i="7"/>
  <c r="B160" i="7"/>
  <c r="B12" i="7"/>
  <c r="B88" i="7"/>
  <c r="B177" i="7"/>
  <c r="B183" i="7"/>
  <c r="B151" i="7"/>
  <c r="B60" i="7"/>
  <c r="B84" i="7"/>
  <c r="B109" i="7"/>
  <c r="B164" i="7"/>
  <c r="B120" i="7"/>
  <c r="B112" i="7"/>
  <c r="B138" i="7"/>
  <c r="B52" i="7"/>
  <c r="B172" i="7"/>
  <c r="B154" i="7"/>
  <c r="B76" i="7"/>
  <c r="B83" i="7"/>
  <c r="B114" i="7"/>
  <c r="B68" i="7"/>
  <c r="B57" i="7"/>
  <c r="B152" i="7"/>
  <c r="B67" i="7"/>
  <c r="B131" i="7"/>
  <c r="B18" i="7"/>
  <c r="B36" i="7"/>
  <c r="B121" i="7"/>
  <c r="B147" i="7"/>
  <c r="B179" i="7"/>
  <c r="B128" i="7"/>
  <c r="B43" i="7"/>
  <c r="B81" i="7"/>
  <c r="B62" i="7"/>
  <c r="B82" i="7"/>
  <c r="B27" i="7"/>
  <c r="B142" i="7"/>
  <c r="B93" i="7"/>
  <c r="B28" i="7"/>
  <c r="B162" i="7"/>
  <c r="B108" i="7"/>
  <c r="B26" i="7"/>
  <c r="B19" i="7"/>
  <c r="B69" i="7"/>
  <c r="B31" i="7"/>
  <c r="B22" i="7"/>
  <c r="B35" i="7"/>
  <c r="B167" i="7"/>
  <c r="B170" i="7"/>
  <c r="B55" i="7"/>
  <c r="B158" i="7"/>
  <c r="B134" i="7"/>
  <c r="B190" i="7"/>
  <c r="B195" i="7"/>
  <c r="B103" i="7"/>
  <c r="B198" i="7"/>
  <c r="B64" i="7"/>
  <c r="B135" i="7"/>
  <c r="B75" i="7"/>
  <c r="B157" i="7"/>
  <c r="B40" i="7"/>
  <c r="B182" i="7"/>
  <c r="B86" i="7"/>
  <c r="B98" i="7"/>
  <c r="B59" i="7"/>
  <c r="B184" i="7"/>
  <c r="B156" i="7"/>
  <c r="B189" i="7"/>
  <c r="B54" i="7"/>
  <c r="B5" i="7"/>
  <c r="B70" i="7"/>
  <c r="B21" i="7"/>
  <c r="B20" i="7"/>
  <c r="B58" i="7"/>
  <c r="B110" i="7"/>
  <c r="B130" i="7"/>
  <c r="B85" i="7"/>
  <c r="B176" i="7"/>
  <c r="B159" i="7"/>
  <c r="B119" i="7"/>
  <c r="B49" i="7"/>
  <c r="B133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A1C3DE-4A28-4FDC-A172-E044C09799D9}" keepAlive="1" name="Query - Table1 (2)" description="Connection to the 'Table1 (2)' query in the workbook." type="5" refreshedVersion="6" background="1" saveData="1">
    <dbPr connection="Provider=Microsoft.Mashup.OleDb.1;Data Source=$Workbook$;Location=Table1 (2);Extended Properties=&quot;&quot;" command="SELECT * FROM [Table1 (2)]"/>
  </connection>
</connections>
</file>

<file path=xl/sharedStrings.xml><?xml version="1.0" encoding="utf-8"?>
<sst xmlns="http://schemas.openxmlformats.org/spreadsheetml/2006/main" count="1682" uniqueCount="260">
  <si>
    <t>Order_ID</t>
  </si>
  <si>
    <t>Order_Date</t>
  </si>
  <si>
    <t>Region</t>
  </si>
  <si>
    <t>Product</t>
  </si>
  <si>
    <t>Category</t>
  </si>
  <si>
    <t>Quantity</t>
  </si>
  <si>
    <t>Unit_Price</t>
  </si>
  <si>
    <t>ORD0001</t>
  </si>
  <si>
    <t>South</t>
  </si>
  <si>
    <t>Notebook</t>
  </si>
  <si>
    <t>Stationery</t>
  </si>
  <si>
    <t>ORD0002</t>
  </si>
  <si>
    <t>North</t>
  </si>
  <si>
    <t>Desk Chair</t>
  </si>
  <si>
    <t>Furniture</t>
  </si>
  <si>
    <t>ORD0003</t>
  </si>
  <si>
    <t>ORD0004</t>
  </si>
  <si>
    <t>Laptop</t>
  </si>
  <si>
    <t>Electronics</t>
  </si>
  <si>
    <t>ORD0005</t>
  </si>
  <si>
    <t>ORD0006</t>
  </si>
  <si>
    <t>ORD0007</t>
  </si>
  <si>
    <t>ORD0008</t>
  </si>
  <si>
    <t>Pen Pack</t>
  </si>
  <si>
    <t>ORD0009</t>
  </si>
  <si>
    <t>East</t>
  </si>
  <si>
    <t>ORD0010</t>
  </si>
  <si>
    <t>Keyboard</t>
  </si>
  <si>
    <t>ORD0011</t>
  </si>
  <si>
    <t>West</t>
  </si>
  <si>
    <t>Mouse</t>
  </si>
  <si>
    <t>ORD0012</t>
  </si>
  <si>
    <t>Monitor</t>
  </si>
  <si>
    <t>ORD0013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</si>
  <si>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</si>
  <si>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</si>
  <si>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</si>
  <si>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</si>
  <si>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</si>
  <si>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</si>
  <si>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</si>
  <si>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</si>
  <si>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</si>
  <si>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</si>
  <si>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</si>
  <si>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</si>
  <si>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</si>
  <si>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</si>
  <si>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</si>
  <si>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</si>
  <si>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</si>
  <si>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</si>
  <si>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</si>
  <si>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</si>
  <si>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</si>
  <si>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</si>
  <si>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</si>
  <si>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</si>
  <si>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</si>
  <si>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</si>
  <si>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</si>
  <si>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</si>
  <si>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</si>
  <si>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</si>
  <si>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</si>
  <si>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</si>
  <si>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</si>
  <si>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</si>
  <si>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</si>
  <si>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</si>
  <si>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</si>
  <si>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</si>
  <si>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</si>
  <si>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</si>
  <si>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</si>
  <si>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</si>
  <si>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</si>
  <si>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</si>
  <si>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</si>
  <si>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</si>
  <si>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</si>
  <si>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</si>
  <si>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</si>
  <si>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</si>
  <si>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</si>
  <si>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</si>
  <si>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</si>
  <si>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</si>
  <si>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</si>
  <si>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</si>
  <si>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</si>
  <si>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</si>
  <si>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</si>
  <si>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</si>
  <si>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</si>
  <si>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</si>
  <si>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</si>
  <si>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</si>
  <si>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</si>
  <si>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</si>
  <si>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</si>
  <si>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</si>
  <si>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</si>
  <si>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</si>
  <si>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</si>
  <si>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</si>
  <si>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</si>
  <si>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</si>
  <si>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</si>
  <si>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</si>
  <si>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</si>
  <si>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</si>
  <si>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</si>
  <si>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</si>
  <si>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</si>
  <si>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</si>
  <si>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</si>
  <si>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</si>
  <si>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</si>
  <si>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</si>
  <si>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</si>
  <si>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</si>
  <si>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</si>
  <si>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</si>
  <si>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</si>
  <si>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</si>
  <si>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</si>
  <si>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</si>
  <si>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</si>
  <si>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</si>
  <si>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</si>
  <si>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</si>
  <si>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</si>
  <si>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</si>
  <si>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</si>
  <si>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</si>
  <si>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</si>
  <si>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</si>
  <si>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</si>
  <si>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</si>
  <si>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</si>
  <si>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</si>
  <si>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</si>
  <si>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</si>
  <si>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</si>
  <si>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</si>
  <si>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</si>
  <si>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</si>
  <si>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</si>
  <si>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</si>
  <si>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</si>
  <si>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</si>
  <si>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</si>
  <si>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</si>
  <si>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</si>
  <si>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</si>
  <si>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</si>
  <si>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</si>
  <si>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</si>
  <si>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</si>
  <si>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</si>
  <si>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</si>
  <si>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</si>
  <si>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</si>
  <si>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</si>
  <si>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</si>
  <si>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</si>
  <si>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</si>
  <si>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</si>
  <si>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</si>
  <si>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</si>
  <si>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</si>
  <si>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</si>
  <si>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</si>
  <si>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</si>
  <si>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</si>
  <si>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</si>
  <si>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</si>
  <si>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</si>
  <si>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</si>
  <si>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</si>
  <si>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</si>
  <si>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</si>
  <si>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</si>
  <si>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</si>
  <si>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</si>
  <si>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</si>
  <si>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</si>
  <si>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</si>
  <si>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</si>
  <si>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</si>
  <si>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</si>
  <si>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</si>
  <si>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</si>
  <si>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</si>
  <si>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</si>
  <si>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</si>
  <si>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</si>
  <si>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</si>
  <si>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</si>
  <si>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</si>
  <si>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</si>
  <si>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</si>
  <si>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</si>
  <si>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</si>
  <si>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</si>
  <si>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</si>
  <si>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</si>
  <si>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</si>
  <si>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</si>
  <si>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</si>
  <si>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</si>
  <si>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</si>
  <si>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</si>
  <si>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</si>
  <si>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</si>
  <si>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</si>
  <si>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</si>
  <si>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</si>
  <si>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</si>
  <si>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</si>
  <si>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50-Day Data Analyst Coding Challenge – Day 1 (Excel)</t>
  </si>
  <si>
    <t>Context:</t>
  </si>
  <si>
    <t>In the IT industry, analysts often receive raw sales or operational data and must analyze it to generate insights.</t>
  </si>
  <si>
    <t>Your task today simulates a real-world business scenario.</t>
  </si>
  <si>
    <t>Business Scenario:</t>
  </si>
  <si>
    <t>You are a Junior Data Analyst working for a retail company.</t>
  </si>
  <si>
    <t>The sales team has shared raw sales data and asked you to analyze regional performance.</t>
  </si>
  <si>
    <t>Tasks to Perform:</t>
  </si>
  <si>
    <t>1. Clean the data if required.</t>
  </si>
  <si>
    <t>2. Calculate Total Revenue using formula: Quantity * Unit Price.</t>
  </si>
  <si>
    <t>3. Create a Pivot Table showing:</t>
  </si>
  <si>
    <t xml:space="preserve">   - Total Revenue by Region</t>
  </si>
  <si>
    <t xml:space="preserve">   - Total Revenue by Product Category</t>
  </si>
  <si>
    <t>4. Identify the Top 5 performing products by Revenue.</t>
  </si>
  <si>
    <t>5. Create a chart to visualize Revenue by Region.</t>
  </si>
  <si>
    <t>Expected Skills Used:</t>
  </si>
  <si>
    <t>- Basic Excel formulas</t>
  </si>
  <si>
    <t>- Pivot Tables</t>
  </si>
  <si>
    <t>- Sorting &amp; Filtering</t>
  </si>
  <si>
    <t>- Data visualization using charts</t>
  </si>
  <si>
    <t>Submission:</t>
  </si>
  <si>
    <t>Upload the Excel file with your analysis sheet added.</t>
  </si>
  <si>
    <t>Day</t>
  </si>
  <si>
    <t>Month</t>
  </si>
  <si>
    <t>Year</t>
  </si>
  <si>
    <t>Total_Revenue</t>
  </si>
  <si>
    <t>Sum of Total_Revenue</t>
  </si>
  <si>
    <t>Row Labels</t>
  </si>
  <si>
    <t>Grand Total</t>
  </si>
  <si>
    <t>pivot tables</t>
  </si>
  <si>
    <t>product category</t>
  </si>
  <si>
    <t>Data Visualization</t>
  </si>
  <si>
    <t>Insights</t>
  </si>
  <si>
    <t>West region Generates highest revenue indicating strong product demand in this region</t>
  </si>
  <si>
    <t>south and east regions contribute moderate revenue, showing consistent sales performance</t>
  </si>
  <si>
    <t>North region records comparitively lower revenue suggesting to improve marketing</t>
  </si>
  <si>
    <t>Electronics  Category contributes the highest share of total revenue showing strong customer demand for electronic products</t>
  </si>
  <si>
    <t xml:space="preserve">Stationery contributes the lowest revenue share </t>
  </si>
  <si>
    <t>Data Analyst Coding challenge Day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</si>
</sst>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Arial Black"/>
      <family val="2"/>
    </font>
    <font>
      <sz val="22"/>
      <color theme="1"/>
      <name val="Arial Black"/>
      <family val="2"/>
    </font>
    <font>
      <sz val="24"/>
      <color theme="1"/>
      <name val="Arial Black"/>
      <family val="2"/>
    </font>
    <font>
      <sz val="26"/>
      <color theme="9"/>
      <name val="Eras Bold ITC"/>
      <family val="2"/>
    </font>
    <font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1" fillId="2" borderId="0" xfId="0" applyFont="1" applyFill="1"/>
    <xf numFmtId="0" fontId="1" fillId="3" borderId="0" xfId="0" applyFont="1" applyFill="1"/>
    <xf numFmtId="0" fontId="0" fillId="0" borderId="2" xfId="0" applyBorder="1"/>
    <xf numFmtId="0" fontId="0" fillId="0" borderId="3" xfId="0" applyBorder="1"/>
    <xf numFmtId="0" fontId="0" fillId="0" borderId="7" xfId="0" applyBorder="1"/>
    <xf numFmtId="164" fontId="0" fillId="0" borderId="8" xfId="0" applyNumberFormat="1" applyBorder="1"/>
    <xf numFmtId="0" fontId="0" fillId="0" borderId="8" xfId="0" applyBorder="1"/>
    <xf numFmtId="0" fontId="0" fillId="0" borderId="9" xfId="0" applyBorder="1"/>
    <xf numFmtId="0" fontId="1" fillId="4" borderId="4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0" fillId="0" borderId="0" xfId="0" pivotButton="1"/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1" xfId="0" applyNumberFormat="1" applyBorder="1"/>
    <xf numFmtId="0" fontId="0" fillId="7" borderId="1" xfId="0" applyFill="1" applyBorder="1" applyAlignment="1">
      <alignment horizontal="left"/>
    </xf>
    <xf numFmtId="0" fontId="0" fillId="8" borderId="1" xfId="0" applyNumberFormat="1" applyFill="1" applyBorder="1"/>
    <xf numFmtId="0" fontId="0" fillId="9" borderId="1" xfId="0" applyFill="1" applyBorder="1" applyAlignment="1">
      <alignment horizontal="left" indent="1"/>
    </xf>
    <xf numFmtId="0" fontId="0" fillId="9" borderId="1" xfId="0" applyNumberFormat="1" applyFill="1" applyBorder="1"/>
    <xf numFmtId="0" fontId="0" fillId="10" borderId="1" xfId="0" applyFill="1" applyBorder="1" applyAlignment="1">
      <alignment horizontal="left" indent="1"/>
    </xf>
    <xf numFmtId="0" fontId="0" fillId="10" borderId="1" xfId="0" applyNumberFormat="1" applyFill="1" applyBorder="1"/>
    <xf numFmtId="0" fontId="0" fillId="11" borderId="1" xfId="0" applyFill="1" applyBorder="1" applyAlignment="1">
      <alignment horizontal="left" indent="1"/>
    </xf>
    <xf numFmtId="0" fontId="0" fillId="11" borderId="1" xfId="0" applyNumberFormat="1" applyFill="1" applyBorder="1"/>
    <xf numFmtId="0" fontId="5" fillId="10" borderId="10" xfId="0" applyFont="1" applyFill="1" applyBorder="1"/>
    <xf numFmtId="0" fontId="6" fillId="10" borderId="14" xfId="0" applyFont="1" applyFill="1" applyBorder="1"/>
    <xf numFmtId="0" fontId="6" fillId="10" borderId="11" xfId="0" applyFont="1" applyFill="1" applyBorder="1"/>
    <xf numFmtId="0" fontId="6" fillId="10" borderId="12" xfId="0" applyFont="1" applyFill="1" applyBorder="1"/>
    <xf numFmtId="0" fontId="6" fillId="10" borderId="15" xfId="0" applyFont="1" applyFill="1" applyBorder="1"/>
    <xf numFmtId="0" fontId="6" fillId="10" borderId="13" xfId="0" applyFont="1" applyFill="1" applyBorder="1"/>
    <xf numFmtId="0" fontId="0" fillId="8" borderId="1" xfId="0" applyFill="1" applyBorder="1" applyAlignment="1">
      <alignment horizontal="left"/>
    </xf>
    <xf numFmtId="0" fontId="0" fillId="0" borderId="16" xfId="0" pivotButton="1" applyBorder="1"/>
    <xf numFmtId="0" fontId="0" fillId="0" borderId="17" xfId="0" pivotButton="1" applyBorder="1"/>
    <xf numFmtId="0" fontId="0" fillId="0" borderId="20" xfId="0" applyBorder="1" applyAlignment="1">
      <alignment horizontal="left"/>
    </xf>
    <xf numFmtId="0" fontId="0" fillId="0" borderId="21" xfId="0" applyNumberFormat="1" applyBorder="1"/>
    <xf numFmtId="0" fontId="0" fillId="9" borderId="18" xfId="0" applyFill="1" applyBorder="1" applyAlignment="1">
      <alignment horizontal="left"/>
    </xf>
    <xf numFmtId="0" fontId="0" fillId="9" borderId="19" xfId="0" applyNumberFormat="1" applyFill="1" applyBorder="1"/>
    <xf numFmtId="0" fontId="3" fillId="6" borderId="10" xfId="0" applyFont="1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5" borderId="4" xfId="0" applyFont="1" applyFill="1" applyBorder="1"/>
    <xf numFmtId="0" fontId="0" fillId="5" borderId="5" xfId="0" applyFont="1" applyFill="1" applyBorder="1"/>
    <xf numFmtId="0" fontId="0" fillId="5" borderId="6" xfId="0" applyFont="1" applyFill="1" applyBorder="1"/>
    <xf numFmtId="14" fontId="0" fillId="0" borderId="1" xfId="0" applyNumberFormat="1" applyBorder="1"/>
    <xf numFmtId="14" fontId="0" fillId="0" borderId="8" xfId="0" applyNumberFormat="1" applyBorder="1"/>
    <xf numFmtId="0" fontId="4" fillId="12" borderId="0" xfId="0" applyFont="1" applyFill="1" applyAlignment="1">
      <alignment horizontal="center"/>
    </xf>
    <xf numFmtId="0" fontId="0" fillId="12" borderId="0" xfId="0" applyFont="1" applyFill="1" applyAlignment="1">
      <alignment horizontal="center"/>
    </xf>
    <xf numFmtId="0" fontId="2" fillId="13" borderId="10" xfId="0" applyFont="1" applyFill="1" applyBorder="1"/>
    <xf numFmtId="0" fontId="2" fillId="13" borderId="14" xfId="0" applyFont="1" applyFill="1" applyBorder="1"/>
    <xf numFmtId="0" fontId="2" fillId="13" borderId="11" xfId="0" applyFont="1" applyFill="1" applyBorder="1"/>
    <xf numFmtId="0" fontId="2" fillId="13" borderId="12" xfId="0" applyFont="1" applyFill="1" applyBorder="1"/>
    <xf numFmtId="0" fontId="2" fillId="13" borderId="15" xfId="0" applyFont="1" applyFill="1" applyBorder="1"/>
    <xf numFmtId="0" fontId="2" fillId="13" borderId="13" xfId="0" applyFont="1" applyFill="1" applyBorder="1"/>
    <xf numFmtId="0" fontId="7" fillId="6" borderId="1" xfId="0" applyFont="1" applyFill="1" applyBorder="1" applyAlignment="1">
      <alignment horizontal="left" vertical="top"/>
    </xf>
    <xf numFmtId="0" fontId="7" fillId="0" borderId="1" xfId="0" applyFont="1" applyBorder="1"/>
    <xf numFmtId="0" fontId="7" fillId="6" borderId="1" xfId="0" applyFont="1" applyFill="1" applyBorder="1"/>
    <xf numFmtId="0" fontId="7" fillId="6" borderId="1" xfId="0" applyFont="1" applyFill="1" applyBorder="1" applyAlignment="1"/>
    <xf numFmtId="0" fontId="7" fillId="0" borderId="8" xfId="0" applyFont="1" applyBorder="1"/>
    <xf numFmtId="0" fontId="7" fillId="0" borderId="5" xfId="0" applyFont="1" applyBorder="1"/>
    <xf numFmtId="0" fontId="7" fillId="6" borderId="22" xfId="0" applyFont="1" applyFill="1" applyBorder="1"/>
    <xf numFmtId="0" fontId="7" fillId="6" borderId="23" xfId="0" applyFont="1" applyFill="1" applyBorder="1"/>
    <xf numFmtId="0" fontId="7" fillId="6" borderId="24" xfId="0" applyFont="1" applyFill="1" applyBorder="1"/>
  </cellXfs>
  <cellStyles count="1">
    <cellStyle name="Normal" xfId="0" builtinId="0"/>
  </cellStyles>
  <dxfs count="97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9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4" tint="0.399975585192419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yyyy\-mm\-dd\ h:mm:ss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[day 1 coding excel.xlsx]charts!PivotTable1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charts!$B$5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charts!$A$6:$A$10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charts!$B$6:$B$10</c:f>
              <c:numCache>
                <c:formatCode>General</c:formatCode>
                <c:ptCount val="4"/>
                <c:pt idx="0">
                  <c:v>116463</c:v>
                </c:pt>
                <c:pt idx="1">
                  <c:v>104808</c:v>
                </c:pt>
                <c:pt idx="2">
                  <c:v>108472</c:v>
                </c:pt>
                <c:pt idx="3">
                  <c:v>117043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6F-44C3-8E6D-6401DE438E7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197325200"/>
        <c:axId val="2011183232"/>
      </c:barChart>
      <c:catAx>
        <c:axId val="11973252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1183232"/>
        <c:crosses val="autoZero"/>
        <c:auto val="1"/>
        <c:lblAlgn val="ctr"/>
        <c:lblOffset val="100"/>
        <c:noMultiLvlLbl val="0"/>
      </c:catAx>
      <c:valAx>
        <c:axId val="2011183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total_revenue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7325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Electronics</c:v>
              </c:pt>
              <c:pt idx="1">
                <c:v>Furniture</c:v>
              </c:pt>
              <c:pt idx="2">
                <c:v>Stationery</c:v>
              </c:pt>
            </c:strLit>
          </c:cat>
          <c:val>
            <c:numLit>
              <c:formatCode>General</c:formatCode>
              <c:ptCount val="3"/>
              <c:pt idx="0">
                <c:v>227030</c:v>
              </c:pt>
              <c:pt idx="1">
                <c:v>90635</c:v>
              </c:pt>
              <c:pt idx="2">
                <c:v>129121</c:v>
              </c:pt>
            </c:numLit>
          </c:val>
          <c:extLst>
            <c:ext xmlns:c16="http://schemas.microsoft.com/office/drawing/2014/chart" uri="{C3380CC4-5D6E-409C-BE32-E72D297353CC}">
              <c16:uniqueId val="{00000000-5F7C-4500-AFC0-530F15CE8BB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202767680"/>
        <c:axId val="64151728"/>
      </c:barChart>
      <c:catAx>
        <c:axId val="12027676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51728"/>
        <c:crosses val="autoZero"/>
        <c:auto val="1"/>
        <c:lblAlgn val="ctr"/>
        <c:lblOffset val="100"/>
        <c:noMultiLvlLbl val="0"/>
      </c:catAx>
      <c:valAx>
        <c:axId val="64151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total_revenue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2767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450850</xdr:colOff>
      <xdr:row>4</xdr:row>
      <xdr:rowOff>0</xdr:rowOff>
    </xdr:from>
    <xdr:to>
      <xdr:col>12</xdr:col>
      <xdr:colOff>19050</xdr:colOff>
      <xdr:row>17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9AE3D0-0468-4713-9171-3FE43133E9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511174</xdr:colOff>
      <xdr:row>22</xdr:row>
      <xdr:rowOff>158750</xdr:rowOff>
    </xdr:from>
    <xdr:to>
      <xdr:col>11</xdr:col>
      <xdr:colOff>609599</xdr:colOff>
      <xdr:row>39</xdr:row>
      <xdr:rowOff>82550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73F34C3-6890-42DD-8BE7-FEC38741CF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97.535154976853" createdVersion="6" refreshedVersion="6" minRefreshableVersion="3" recordCount="200" xr:uid="{AF1A5227-2DA2-44A5-9D51-3DEC52F48B48}">
  <cacheSource type="worksheet">
    <worksheetSource name="Table1__2"/>
  </cacheSource>
  <cacheFields count="12">
    <cacheField name="Order_ID" numFmtId="0">
      <sharedItems/>
    </cacheField>
    <cacheField name="Order_Date" numFmtId="14">
      <sharedItems containsSemiMixedTypes="0" containsNonDate="0" containsDate="1" containsString="0" minDate="2025-01-01T00:00:00" maxDate="2025-03-03T00:00:00"/>
    </cacheField>
    <cacheField name="Day" numFmtId="0">
      <sharedItems containsSemiMixedTypes="0" containsString="0" containsNumber="1" containsInteger="1" minValue="1" maxValue="31"/>
    </cacheField>
    <cacheField name="Month" numFmtId="0">
      <sharedItems containsSemiMixedTypes="0" containsString="0" containsNumber="1" containsInteger="1" minValue="1" maxValue="3"/>
    </cacheField>
    <cacheField name="Year" numFmtId="0">
      <sharedItems containsSemiMixedTypes="0" containsString="0" containsNumber="1" containsInteger="1" minValue="2025" maxValue="2025"/>
    </cacheField>
    <cacheField name="Region" numFmtId="0">
      <sharedItems count="4">
        <s v="South"/>
        <s v="North"/>
        <s v="East"/>
        <s v="West"/>
      </sharedItems>
    </cacheField>
    <cacheField name="Product" numFmtId="0">
      <sharedItems count="7">
        <s v="Notebook"/>
        <s v="Desk Chair"/>
        <s v="Laptop"/>
        <s v="Pen Pack"/>
        <s v="Keyboard"/>
        <s v="Mouse"/>
        <s v="Monitor"/>
      </sharedItems>
    </cacheField>
    <cacheField name="Category" numFmtId="0">
      <sharedItems count="3">
        <s v="Stationery"/>
        <s v="Furniture"/>
        <s v="Electronics"/>
      </sharedItems>
    </cacheField>
    <cacheField name="Quantity" numFmtId="0">
      <sharedItems containsSemiMixedTypes="0" containsString="0" containsNumber="1" containsInteger="1" minValue="1" maxValue="10"/>
    </cacheField>
    <cacheField name="Unit_Price" numFmtId="0">
      <sharedItems containsSemiMixedTypes="0" containsString="0" containsNumber="1" containsInteger="1" minValue="18" maxValue="899"/>
    </cacheField>
    <cacheField name="Total_Revenue" numFmtId="0">
      <sharedItems containsSemiMixedTypes="0" containsString="0" containsNumber="1" containsInteger="1" minValue="40" maxValue="8900"/>
    </cacheField>
    <cacheField name="Column1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ORD0001"/>
    <d v="2025-01-28T00:00:00"/>
    <n v="28"/>
    <n v="1"/>
    <n v="2025"/>
    <x v="0"/>
    <x v="0"/>
    <x v="0"/>
    <n v="6"/>
    <n v="142"/>
    <n v="852"/>
    <m/>
  </r>
  <r>
    <s v="ORD0002"/>
    <d v="2025-01-29T00:00:00"/>
    <n v="29"/>
    <n v="1"/>
    <n v="2025"/>
    <x v="1"/>
    <x v="1"/>
    <x v="1"/>
    <n v="4"/>
    <n v="890"/>
    <n v="3560"/>
    <m/>
  </r>
  <r>
    <s v="ORD0003"/>
    <d v="2025-02-13T00:00:00"/>
    <n v="13"/>
    <n v="2"/>
    <n v="2025"/>
    <x v="0"/>
    <x v="0"/>
    <x v="0"/>
    <n v="10"/>
    <n v="786"/>
    <n v="7860"/>
    <m/>
  </r>
  <r>
    <s v="ORD0004"/>
    <d v="2025-01-05T00:00:00"/>
    <n v="5"/>
    <n v="1"/>
    <n v="2025"/>
    <x v="0"/>
    <x v="2"/>
    <x v="2"/>
    <n v="2"/>
    <n v="20"/>
    <n v="40"/>
    <m/>
  </r>
  <r>
    <s v="ORD0005"/>
    <d v="2025-02-04T00:00:00"/>
    <n v="4"/>
    <n v="2"/>
    <n v="2025"/>
    <x v="0"/>
    <x v="2"/>
    <x v="2"/>
    <n v="1"/>
    <n v="74"/>
    <n v="74"/>
    <m/>
  </r>
  <r>
    <s v="ORD0006"/>
    <d v="2025-02-23T00:00:00"/>
    <n v="23"/>
    <n v="2"/>
    <n v="2025"/>
    <x v="0"/>
    <x v="1"/>
    <x v="1"/>
    <n v="4"/>
    <n v="486"/>
    <n v="1944"/>
    <m/>
  </r>
  <r>
    <s v="ORD0007"/>
    <d v="2025-01-23T00:00:00"/>
    <n v="23"/>
    <n v="1"/>
    <n v="2025"/>
    <x v="0"/>
    <x v="0"/>
    <x v="0"/>
    <n v="1"/>
    <n v="560"/>
    <n v="560"/>
    <m/>
  </r>
  <r>
    <s v="ORD0008"/>
    <d v="2025-02-27T00:00:00"/>
    <n v="27"/>
    <n v="2"/>
    <n v="2025"/>
    <x v="1"/>
    <x v="3"/>
    <x v="0"/>
    <n v="2"/>
    <n v="737"/>
    <n v="1474"/>
    <m/>
  </r>
  <r>
    <s v="ORD0009"/>
    <d v="2025-01-02T00:00:00"/>
    <n v="2"/>
    <n v="1"/>
    <n v="2025"/>
    <x v="2"/>
    <x v="0"/>
    <x v="0"/>
    <n v="1"/>
    <n v="647"/>
    <n v="647"/>
    <m/>
  </r>
  <r>
    <s v="ORD0010"/>
    <d v="2025-02-14T00:00:00"/>
    <n v="14"/>
    <n v="2"/>
    <n v="2025"/>
    <x v="0"/>
    <x v="4"/>
    <x v="2"/>
    <n v="6"/>
    <n v="681"/>
    <n v="4086"/>
    <m/>
  </r>
  <r>
    <s v="ORD0011"/>
    <d v="2025-02-15T00:00:00"/>
    <n v="15"/>
    <n v="2"/>
    <n v="2025"/>
    <x v="3"/>
    <x v="5"/>
    <x v="2"/>
    <n v="7"/>
    <n v="429"/>
    <n v="3003"/>
    <s v="A"/>
  </r>
  <r>
    <s v="ORD0012"/>
    <d v="2025-01-22T00:00:00"/>
    <n v="22"/>
    <n v="1"/>
    <n v="2025"/>
    <x v="2"/>
    <x v="6"/>
    <x v="2"/>
    <n v="7"/>
    <n v="194"/>
    <n v="1358"/>
    <m/>
  </r>
  <r>
    <s v="ORD0013"/>
    <d v="2025-02-23T00:00:00"/>
    <n v="23"/>
    <n v="2"/>
    <n v="2025"/>
    <x v="0"/>
    <x v="3"/>
    <x v="0"/>
    <n v="4"/>
    <n v="503"/>
    <n v="2012"/>
    <m/>
  </r>
  <r>
    <s v="ORD0014"/>
    <d v="2025-02-03T00:00:00"/>
    <n v="3"/>
    <n v="2"/>
    <n v="2025"/>
    <x v="1"/>
    <x v="2"/>
    <x v="2"/>
    <n v="2"/>
    <n v="21"/>
    <n v="42"/>
    <m/>
  </r>
  <r>
    <s v="ORD0015"/>
    <d v="2025-02-05T00:00:00"/>
    <n v="5"/>
    <n v="2"/>
    <n v="2025"/>
    <x v="3"/>
    <x v="2"/>
    <x v="2"/>
    <n v="6"/>
    <n v="511"/>
    <n v="3066"/>
    <m/>
  </r>
  <r>
    <s v="ORD0016"/>
    <d v="2025-02-26T00:00:00"/>
    <n v="26"/>
    <n v="2"/>
    <n v="2025"/>
    <x v="0"/>
    <x v="3"/>
    <x v="0"/>
    <n v="6"/>
    <n v="235"/>
    <n v="1410"/>
    <m/>
  </r>
  <r>
    <s v="ORD0017"/>
    <d v="2025-02-01T00:00:00"/>
    <n v="1"/>
    <n v="2"/>
    <n v="2025"/>
    <x v="1"/>
    <x v="0"/>
    <x v="0"/>
    <n v="6"/>
    <n v="646"/>
    <n v="3876"/>
    <m/>
  </r>
  <r>
    <s v="ORD0018"/>
    <d v="2025-01-22T00:00:00"/>
    <n v="22"/>
    <n v="1"/>
    <n v="2025"/>
    <x v="3"/>
    <x v="2"/>
    <x v="2"/>
    <n v="1"/>
    <n v="375"/>
    <n v="375"/>
    <m/>
  </r>
  <r>
    <s v="ORD0019"/>
    <d v="2025-02-05T00:00:00"/>
    <n v="5"/>
    <n v="2"/>
    <n v="2025"/>
    <x v="2"/>
    <x v="3"/>
    <x v="0"/>
    <n v="4"/>
    <n v="474"/>
    <n v="1896"/>
    <m/>
  </r>
  <r>
    <s v="ORD0020"/>
    <d v="2025-02-11T00:00:00"/>
    <n v="11"/>
    <n v="2"/>
    <n v="2025"/>
    <x v="0"/>
    <x v="0"/>
    <x v="0"/>
    <n v="5"/>
    <n v="649"/>
    <n v="3245"/>
    <m/>
  </r>
  <r>
    <s v="ORD0021"/>
    <d v="2025-02-27T00:00:00"/>
    <n v="27"/>
    <n v="2"/>
    <n v="2025"/>
    <x v="0"/>
    <x v="3"/>
    <x v="0"/>
    <n v="10"/>
    <n v="710"/>
    <n v="7100"/>
    <m/>
  </r>
  <r>
    <s v="ORD0022"/>
    <d v="2025-01-19T00:00:00"/>
    <n v="19"/>
    <n v="1"/>
    <n v="2025"/>
    <x v="3"/>
    <x v="1"/>
    <x v="1"/>
    <n v="7"/>
    <n v="896"/>
    <n v="6272"/>
    <m/>
  </r>
  <r>
    <s v="ORD0023"/>
    <d v="2025-01-15T00:00:00"/>
    <n v="15"/>
    <n v="1"/>
    <n v="2025"/>
    <x v="3"/>
    <x v="1"/>
    <x v="1"/>
    <n v="1"/>
    <n v="899"/>
    <n v="899"/>
    <m/>
  </r>
  <r>
    <s v="ORD0024"/>
    <d v="2025-01-23T00:00:00"/>
    <n v="23"/>
    <n v="1"/>
    <n v="2025"/>
    <x v="3"/>
    <x v="5"/>
    <x v="2"/>
    <n v="8"/>
    <n v="457"/>
    <n v="3656"/>
    <m/>
  </r>
  <r>
    <s v="ORD0025"/>
    <d v="2025-01-23T00:00:00"/>
    <n v="23"/>
    <n v="1"/>
    <n v="2025"/>
    <x v="3"/>
    <x v="1"/>
    <x v="1"/>
    <n v="9"/>
    <n v="587"/>
    <n v="5283"/>
    <m/>
  </r>
  <r>
    <s v="ORD0026"/>
    <d v="2025-01-26T00:00:00"/>
    <n v="26"/>
    <n v="1"/>
    <n v="2025"/>
    <x v="1"/>
    <x v="1"/>
    <x v="1"/>
    <n v="4"/>
    <n v="420"/>
    <n v="1680"/>
    <m/>
  </r>
  <r>
    <s v="ORD0027"/>
    <d v="2025-02-18T00:00:00"/>
    <n v="18"/>
    <n v="2"/>
    <n v="2025"/>
    <x v="2"/>
    <x v="0"/>
    <x v="0"/>
    <n v="4"/>
    <n v="761"/>
    <n v="3044"/>
    <m/>
  </r>
  <r>
    <s v="ORD0028"/>
    <d v="2025-01-09T00:00:00"/>
    <n v="9"/>
    <n v="1"/>
    <n v="2025"/>
    <x v="2"/>
    <x v="1"/>
    <x v="1"/>
    <n v="3"/>
    <n v="18"/>
    <n v="54"/>
    <m/>
  </r>
  <r>
    <s v="ORD0029"/>
    <d v="2025-02-21T00:00:00"/>
    <n v="21"/>
    <n v="2"/>
    <n v="2025"/>
    <x v="1"/>
    <x v="4"/>
    <x v="2"/>
    <n v="3"/>
    <n v="351"/>
    <n v="1053"/>
    <m/>
  </r>
  <r>
    <s v="ORD0030"/>
    <d v="2025-01-25T00:00:00"/>
    <n v="25"/>
    <n v="1"/>
    <n v="2025"/>
    <x v="2"/>
    <x v="2"/>
    <x v="2"/>
    <n v="10"/>
    <n v="131"/>
    <n v="1310"/>
    <m/>
  </r>
  <r>
    <s v="ORD0031"/>
    <d v="2025-03-01T00:00:00"/>
    <n v="1"/>
    <n v="3"/>
    <n v="2025"/>
    <x v="0"/>
    <x v="3"/>
    <x v="0"/>
    <n v="4"/>
    <n v="240"/>
    <n v="960"/>
    <m/>
  </r>
  <r>
    <s v="ORD0032"/>
    <d v="2025-02-10T00:00:00"/>
    <n v="10"/>
    <n v="2"/>
    <n v="2025"/>
    <x v="0"/>
    <x v="4"/>
    <x v="2"/>
    <n v="5"/>
    <n v="298"/>
    <n v="1490"/>
    <m/>
  </r>
  <r>
    <s v="ORD0033"/>
    <d v="2025-03-01T00:00:00"/>
    <n v="1"/>
    <n v="3"/>
    <n v="2025"/>
    <x v="0"/>
    <x v="3"/>
    <x v="0"/>
    <n v="5"/>
    <n v="575"/>
    <n v="2875"/>
    <m/>
  </r>
  <r>
    <s v="ORD0034"/>
    <d v="2025-02-27T00:00:00"/>
    <n v="27"/>
    <n v="2"/>
    <n v="2025"/>
    <x v="2"/>
    <x v="5"/>
    <x v="2"/>
    <n v="10"/>
    <n v="253"/>
    <n v="2530"/>
    <m/>
  </r>
  <r>
    <s v="ORD0035"/>
    <d v="2025-03-01T00:00:00"/>
    <n v="1"/>
    <n v="3"/>
    <n v="2025"/>
    <x v="3"/>
    <x v="1"/>
    <x v="1"/>
    <n v="7"/>
    <n v="636"/>
    <n v="4452"/>
    <m/>
  </r>
  <r>
    <s v="ORD0036"/>
    <d v="2025-01-29T00:00:00"/>
    <n v="29"/>
    <n v="1"/>
    <n v="2025"/>
    <x v="3"/>
    <x v="4"/>
    <x v="2"/>
    <n v="9"/>
    <n v="127"/>
    <n v="1143"/>
    <m/>
  </r>
  <r>
    <s v="ORD0037"/>
    <d v="2025-02-01T00:00:00"/>
    <n v="1"/>
    <n v="2"/>
    <n v="2025"/>
    <x v="1"/>
    <x v="4"/>
    <x v="2"/>
    <n v="1"/>
    <n v="120"/>
    <n v="120"/>
    <m/>
  </r>
  <r>
    <s v="ORD0038"/>
    <d v="2025-02-03T00:00:00"/>
    <n v="3"/>
    <n v="2"/>
    <n v="2025"/>
    <x v="2"/>
    <x v="1"/>
    <x v="1"/>
    <n v="9"/>
    <n v="241"/>
    <n v="2169"/>
    <m/>
  </r>
  <r>
    <s v="ORD0039"/>
    <d v="2025-01-05T00:00:00"/>
    <n v="5"/>
    <n v="1"/>
    <n v="2025"/>
    <x v="3"/>
    <x v="3"/>
    <x v="0"/>
    <n v="1"/>
    <n v="284"/>
    <n v="284"/>
    <m/>
  </r>
  <r>
    <s v="ORD0040"/>
    <d v="2025-02-22T00:00:00"/>
    <n v="22"/>
    <n v="2"/>
    <n v="2025"/>
    <x v="3"/>
    <x v="0"/>
    <x v="0"/>
    <n v="5"/>
    <n v="694"/>
    <n v="3470"/>
    <m/>
  </r>
  <r>
    <s v="ORD0041"/>
    <d v="2025-02-21T00:00:00"/>
    <n v="21"/>
    <n v="2"/>
    <n v="2025"/>
    <x v="1"/>
    <x v="6"/>
    <x v="2"/>
    <n v="10"/>
    <n v="216"/>
    <n v="2160"/>
    <m/>
  </r>
  <r>
    <s v="ORD0042"/>
    <d v="2025-02-22T00:00:00"/>
    <n v="22"/>
    <n v="2"/>
    <n v="2025"/>
    <x v="2"/>
    <x v="0"/>
    <x v="0"/>
    <n v="10"/>
    <n v="806"/>
    <n v="8060"/>
    <m/>
  </r>
  <r>
    <s v="ORD0043"/>
    <d v="2025-01-12T00:00:00"/>
    <n v="12"/>
    <n v="1"/>
    <n v="2025"/>
    <x v="2"/>
    <x v="4"/>
    <x v="2"/>
    <n v="3"/>
    <n v="336"/>
    <n v="1008"/>
    <m/>
  </r>
  <r>
    <s v="ORD0044"/>
    <d v="2025-01-21T00:00:00"/>
    <n v="21"/>
    <n v="1"/>
    <n v="2025"/>
    <x v="3"/>
    <x v="2"/>
    <x v="2"/>
    <n v="7"/>
    <n v="269"/>
    <n v="1883"/>
    <m/>
  </r>
  <r>
    <s v="ORD0045"/>
    <d v="2025-01-12T00:00:00"/>
    <n v="12"/>
    <n v="1"/>
    <n v="2025"/>
    <x v="2"/>
    <x v="4"/>
    <x v="2"/>
    <n v="2"/>
    <n v="784"/>
    <n v="1568"/>
    <m/>
  </r>
  <r>
    <s v="ORD0046"/>
    <d v="2025-01-11T00:00:00"/>
    <n v="11"/>
    <n v="1"/>
    <n v="2025"/>
    <x v="0"/>
    <x v="2"/>
    <x v="2"/>
    <n v="5"/>
    <n v="282"/>
    <n v="1410"/>
    <m/>
  </r>
  <r>
    <s v="ORD0047"/>
    <d v="2025-02-19T00:00:00"/>
    <n v="19"/>
    <n v="2"/>
    <n v="2025"/>
    <x v="0"/>
    <x v="3"/>
    <x v="0"/>
    <n v="8"/>
    <n v="125"/>
    <n v="1000"/>
    <m/>
  </r>
  <r>
    <s v="ORD0048"/>
    <d v="2025-01-08T00:00:00"/>
    <n v="8"/>
    <n v="1"/>
    <n v="2025"/>
    <x v="3"/>
    <x v="2"/>
    <x v="2"/>
    <n v="10"/>
    <n v="150"/>
    <n v="1500"/>
    <m/>
  </r>
  <r>
    <s v="ORD0049"/>
    <d v="2025-03-02T00:00:00"/>
    <n v="2"/>
    <n v="3"/>
    <n v="2025"/>
    <x v="2"/>
    <x v="2"/>
    <x v="2"/>
    <n v="1"/>
    <n v="428"/>
    <n v="428"/>
    <m/>
  </r>
  <r>
    <s v="ORD0050"/>
    <d v="2025-02-05T00:00:00"/>
    <n v="5"/>
    <n v="2"/>
    <n v="2025"/>
    <x v="0"/>
    <x v="2"/>
    <x v="2"/>
    <n v="9"/>
    <n v="182"/>
    <n v="1638"/>
    <m/>
  </r>
  <r>
    <s v="ORD0051"/>
    <d v="2025-02-06T00:00:00"/>
    <n v="6"/>
    <n v="2"/>
    <n v="2025"/>
    <x v="0"/>
    <x v="0"/>
    <x v="0"/>
    <n v="8"/>
    <n v="878"/>
    <n v="7024"/>
    <m/>
  </r>
  <r>
    <s v="ORD0052"/>
    <d v="2025-02-16T00:00:00"/>
    <n v="16"/>
    <n v="2"/>
    <n v="2025"/>
    <x v="3"/>
    <x v="5"/>
    <x v="2"/>
    <n v="4"/>
    <n v="31"/>
    <n v="124"/>
    <m/>
  </r>
  <r>
    <s v="ORD0053"/>
    <d v="2025-01-08T00:00:00"/>
    <n v="8"/>
    <n v="1"/>
    <n v="2025"/>
    <x v="0"/>
    <x v="4"/>
    <x v="2"/>
    <n v="9"/>
    <n v="159"/>
    <n v="1431"/>
    <m/>
  </r>
  <r>
    <s v="ORD0054"/>
    <d v="2025-01-03T00:00:00"/>
    <n v="3"/>
    <n v="1"/>
    <n v="2025"/>
    <x v="2"/>
    <x v="2"/>
    <x v="2"/>
    <n v="10"/>
    <n v="259"/>
    <n v="2590"/>
    <m/>
  </r>
  <r>
    <s v="ORD0055"/>
    <d v="2025-02-06T00:00:00"/>
    <n v="6"/>
    <n v="2"/>
    <n v="2025"/>
    <x v="0"/>
    <x v="3"/>
    <x v="0"/>
    <n v="3"/>
    <n v="427"/>
    <n v="1281"/>
    <m/>
  </r>
  <r>
    <s v="ORD0056"/>
    <d v="2025-02-04T00:00:00"/>
    <n v="4"/>
    <n v="2"/>
    <n v="2025"/>
    <x v="0"/>
    <x v="4"/>
    <x v="2"/>
    <n v="8"/>
    <n v="105"/>
    <n v="840"/>
    <m/>
  </r>
  <r>
    <s v="ORD0057"/>
    <d v="2025-01-10T00:00:00"/>
    <n v="10"/>
    <n v="1"/>
    <n v="2025"/>
    <x v="2"/>
    <x v="2"/>
    <x v="2"/>
    <n v="8"/>
    <n v="276"/>
    <n v="2208"/>
    <m/>
  </r>
  <r>
    <s v="ORD0058"/>
    <d v="2025-02-27T00:00:00"/>
    <n v="27"/>
    <n v="2"/>
    <n v="2025"/>
    <x v="3"/>
    <x v="3"/>
    <x v="0"/>
    <n v="1"/>
    <n v="76"/>
    <n v="76"/>
    <m/>
  </r>
  <r>
    <s v="ORD0059"/>
    <d v="2025-02-02T00:00:00"/>
    <n v="2"/>
    <n v="2"/>
    <n v="2025"/>
    <x v="0"/>
    <x v="4"/>
    <x v="2"/>
    <n v="9"/>
    <n v="49"/>
    <n v="441"/>
    <m/>
  </r>
  <r>
    <s v="ORD0060"/>
    <d v="2025-01-31T00:00:00"/>
    <n v="31"/>
    <n v="1"/>
    <n v="2025"/>
    <x v="2"/>
    <x v="3"/>
    <x v="0"/>
    <n v="2"/>
    <n v="823"/>
    <n v="1646"/>
    <m/>
  </r>
  <r>
    <s v="ORD0061"/>
    <d v="2025-02-17T00:00:00"/>
    <n v="17"/>
    <n v="2"/>
    <n v="2025"/>
    <x v="1"/>
    <x v="6"/>
    <x v="2"/>
    <n v="5"/>
    <n v="149"/>
    <n v="745"/>
    <m/>
  </r>
  <r>
    <s v="ORD0062"/>
    <d v="2025-01-06T00:00:00"/>
    <n v="6"/>
    <n v="1"/>
    <n v="2025"/>
    <x v="1"/>
    <x v="1"/>
    <x v="1"/>
    <n v="7"/>
    <n v="790"/>
    <n v="5530"/>
    <m/>
  </r>
  <r>
    <s v="ORD0063"/>
    <d v="2025-02-16T00:00:00"/>
    <n v="16"/>
    <n v="2"/>
    <n v="2025"/>
    <x v="0"/>
    <x v="4"/>
    <x v="2"/>
    <n v="8"/>
    <n v="840"/>
    <n v="6720"/>
    <m/>
  </r>
  <r>
    <s v="ORD0064"/>
    <d v="2025-02-04T00:00:00"/>
    <n v="4"/>
    <n v="2"/>
    <n v="2025"/>
    <x v="1"/>
    <x v="1"/>
    <x v="1"/>
    <n v="1"/>
    <n v="382"/>
    <n v="382"/>
    <m/>
  </r>
  <r>
    <s v="ORD0065"/>
    <d v="2025-02-25T00:00:00"/>
    <n v="25"/>
    <n v="2"/>
    <n v="2025"/>
    <x v="0"/>
    <x v="1"/>
    <x v="1"/>
    <n v="2"/>
    <n v="460"/>
    <n v="920"/>
    <m/>
  </r>
  <r>
    <s v="ORD0066"/>
    <d v="2025-01-28T00:00:00"/>
    <n v="28"/>
    <n v="1"/>
    <n v="2025"/>
    <x v="2"/>
    <x v="0"/>
    <x v="0"/>
    <n v="6"/>
    <n v="38"/>
    <n v="228"/>
    <m/>
  </r>
  <r>
    <s v="ORD0067"/>
    <d v="2025-02-13T00:00:00"/>
    <n v="13"/>
    <n v="2"/>
    <n v="2025"/>
    <x v="2"/>
    <x v="4"/>
    <x v="2"/>
    <n v="3"/>
    <n v="762"/>
    <n v="2286"/>
    <m/>
  </r>
  <r>
    <s v="ORD0068"/>
    <d v="2025-01-24T00:00:00"/>
    <n v="24"/>
    <n v="1"/>
    <n v="2025"/>
    <x v="2"/>
    <x v="2"/>
    <x v="2"/>
    <n v="2"/>
    <n v="96"/>
    <n v="192"/>
    <m/>
  </r>
  <r>
    <s v="ORD0069"/>
    <d v="2025-01-20T00:00:00"/>
    <n v="20"/>
    <n v="1"/>
    <n v="2025"/>
    <x v="2"/>
    <x v="6"/>
    <x v="2"/>
    <n v="1"/>
    <n v="685"/>
    <n v="685"/>
    <m/>
  </r>
  <r>
    <s v="ORD0070"/>
    <d v="2025-02-26T00:00:00"/>
    <n v="26"/>
    <n v="2"/>
    <n v="2025"/>
    <x v="2"/>
    <x v="6"/>
    <x v="2"/>
    <n v="1"/>
    <n v="44"/>
    <n v="44"/>
    <m/>
  </r>
  <r>
    <s v="ORD0071"/>
    <d v="2025-01-13T00:00:00"/>
    <n v="13"/>
    <n v="1"/>
    <n v="2025"/>
    <x v="1"/>
    <x v="1"/>
    <x v="1"/>
    <n v="2"/>
    <n v="295"/>
    <n v="590"/>
    <m/>
  </r>
  <r>
    <s v="ORD0072"/>
    <d v="2025-02-16T00:00:00"/>
    <n v="16"/>
    <n v="2"/>
    <n v="2025"/>
    <x v="3"/>
    <x v="3"/>
    <x v="0"/>
    <n v="8"/>
    <n v="292"/>
    <n v="2336"/>
    <m/>
  </r>
  <r>
    <s v="ORD0073"/>
    <d v="2025-02-14T00:00:00"/>
    <n v="14"/>
    <n v="2"/>
    <n v="2025"/>
    <x v="1"/>
    <x v="2"/>
    <x v="2"/>
    <n v="3"/>
    <n v="70"/>
    <n v="210"/>
    <m/>
  </r>
  <r>
    <s v="ORD0074"/>
    <d v="2025-01-04T00:00:00"/>
    <n v="4"/>
    <n v="1"/>
    <n v="2025"/>
    <x v="2"/>
    <x v="0"/>
    <x v="0"/>
    <n v="5"/>
    <n v="656"/>
    <n v="3280"/>
    <m/>
  </r>
  <r>
    <s v="ORD0075"/>
    <d v="2025-01-02T00:00:00"/>
    <n v="2"/>
    <n v="1"/>
    <n v="2025"/>
    <x v="2"/>
    <x v="5"/>
    <x v="2"/>
    <n v="3"/>
    <n v="452"/>
    <n v="1356"/>
    <m/>
  </r>
  <r>
    <s v="ORD0076"/>
    <d v="2025-01-14T00:00:00"/>
    <n v="14"/>
    <n v="1"/>
    <n v="2025"/>
    <x v="1"/>
    <x v="2"/>
    <x v="2"/>
    <n v="5"/>
    <n v="391"/>
    <n v="1955"/>
    <m/>
  </r>
  <r>
    <s v="ORD0077"/>
    <d v="2025-02-16T00:00:00"/>
    <n v="16"/>
    <n v="2"/>
    <n v="2025"/>
    <x v="1"/>
    <x v="2"/>
    <x v="2"/>
    <n v="2"/>
    <n v="290"/>
    <n v="580"/>
    <m/>
  </r>
  <r>
    <s v="ORD0078"/>
    <d v="2025-01-10T00:00:00"/>
    <n v="10"/>
    <n v="1"/>
    <n v="2025"/>
    <x v="0"/>
    <x v="0"/>
    <x v="0"/>
    <n v="6"/>
    <n v="855"/>
    <n v="5130"/>
    <m/>
  </r>
  <r>
    <s v="ORD0079"/>
    <d v="2025-01-01T00:00:00"/>
    <n v="1"/>
    <n v="1"/>
    <n v="2025"/>
    <x v="0"/>
    <x v="4"/>
    <x v="2"/>
    <n v="4"/>
    <n v="295"/>
    <n v="1180"/>
    <m/>
  </r>
  <r>
    <s v="ORD0080"/>
    <d v="2025-02-27T00:00:00"/>
    <n v="27"/>
    <n v="2"/>
    <n v="2025"/>
    <x v="3"/>
    <x v="5"/>
    <x v="2"/>
    <n v="4"/>
    <n v="824"/>
    <n v="3296"/>
    <m/>
  </r>
  <r>
    <s v="ORD0081"/>
    <d v="2025-01-26T00:00:00"/>
    <n v="26"/>
    <n v="1"/>
    <n v="2025"/>
    <x v="2"/>
    <x v="2"/>
    <x v="2"/>
    <n v="1"/>
    <n v="715"/>
    <n v="715"/>
    <m/>
  </r>
  <r>
    <s v="ORD0082"/>
    <d v="2025-01-23T00:00:00"/>
    <n v="23"/>
    <n v="1"/>
    <n v="2025"/>
    <x v="0"/>
    <x v="4"/>
    <x v="2"/>
    <n v="5"/>
    <n v="380"/>
    <n v="1900"/>
    <m/>
  </r>
  <r>
    <s v="ORD0083"/>
    <d v="2025-01-16T00:00:00"/>
    <n v="16"/>
    <n v="1"/>
    <n v="2025"/>
    <x v="1"/>
    <x v="6"/>
    <x v="2"/>
    <n v="9"/>
    <n v="209"/>
    <n v="1881"/>
    <m/>
  </r>
  <r>
    <s v="ORD0084"/>
    <d v="2025-01-23T00:00:00"/>
    <n v="23"/>
    <n v="1"/>
    <n v="2025"/>
    <x v="0"/>
    <x v="2"/>
    <x v="2"/>
    <n v="10"/>
    <n v="724"/>
    <n v="7240"/>
    <m/>
  </r>
  <r>
    <s v="ORD0085"/>
    <d v="2025-01-12T00:00:00"/>
    <n v="12"/>
    <n v="1"/>
    <n v="2025"/>
    <x v="1"/>
    <x v="5"/>
    <x v="2"/>
    <n v="6"/>
    <n v="780"/>
    <n v="4680"/>
    <m/>
  </r>
  <r>
    <s v="ORD0086"/>
    <d v="2025-02-25T00:00:00"/>
    <n v="25"/>
    <n v="2"/>
    <n v="2025"/>
    <x v="1"/>
    <x v="0"/>
    <x v="0"/>
    <n v="6"/>
    <n v="239"/>
    <n v="1434"/>
    <m/>
  </r>
  <r>
    <s v="ORD0087"/>
    <d v="2025-01-25T00:00:00"/>
    <n v="25"/>
    <n v="1"/>
    <n v="2025"/>
    <x v="0"/>
    <x v="4"/>
    <x v="2"/>
    <n v="9"/>
    <n v="297"/>
    <n v="2673"/>
    <m/>
  </r>
  <r>
    <s v="ORD0088"/>
    <d v="2025-01-08T00:00:00"/>
    <n v="8"/>
    <n v="1"/>
    <n v="2025"/>
    <x v="1"/>
    <x v="6"/>
    <x v="2"/>
    <n v="7"/>
    <n v="473"/>
    <n v="3311"/>
    <m/>
  </r>
  <r>
    <s v="ORD0089"/>
    <d v="2025-02-14T00:00:00"/>
    <n v="14"/>
    <n v="2"/>
    <n v="2025"/>
    <x v="2"/>
    <x v="5"/>
    <x v="2"/>
    <n v="8"/>
    <n v="899"/>
    <n v="7192"/>
    <m/>
  </r>
  <r>
    <s v="ORD0090"/>
    <d v="2025-01-04T00:00:00"/>
    <n v="4"/>
    <n v="1"/>
    <n v="2025"/>
    <x v="3"/>
    <x v="5"/>
    <x v="2"/>
    <n v="7"/>
    <n v="71"/>
    <n v="497"/>
    <m/>
  </r>
  <r>
    <s v="ORD0091"/>
    <d v="2025-02-26T00:00:00"/>
    <n v="26"/>
    <n v="2"/>
    <n v="2025"/>
    <x v="3"/>
    <x v="6"/>
    <x v="2"/>
    <n v="1"/>
    <n v="684"/>
    <n v="684"/>
    <m/>
  </r>
  <r>
    <s v="ORD0092"/>
    <d v="2025-01-01T00:00:00"/>
    <n v="1"/>
    <n v="1"/>
    <n v="2025"/>
    <x v="1"/>
    <x v="1"/>
    <x v="1"/>
    <n v="6"/>
    <n v="284"/>
    <n v="1704"/>
    <m/>
  </r>
  <r>
    <s v="ORD0093"/>
    <d v="2025-02-05T00:00:00"/>
    <n v="5"/>
    <n v="2"/>
    <n v="2025"/>
    <x v="2"/>
    <x v="6"/>
    <x v="2"/>
    <n v="2"/>
    <n v="814"/>
    <n v="1628"/>
    <m/>
  </r>
  <r>
    <s v="ORD0094"/>
    <d v="2025-02-26T00:00:00"/>
    <n v="26"/>
    <n v="2"/>
    <n v="2025"/>
    <x v="3"/>
    <x v="5"/>
    <x v="2"/>
    <n v="3"/>
    <n v="750"/>
    <n v="2250"/>
    <m/>
  </r>
  <r>
    <s v="ORD0095"/>
    <d v="2025-02-18T00:00:00"/>
    <n v="18"/>
    <n v="2"/>
    <n v="2025"/>
    <x v="1"/>
    <x v="1"/>
    <x v="1"/>
    <n v="6"/>
    <n v="810"/>
    <n v="4860"/>
    <m/>
  </r>
  <r>
    <s v="ORD0096"/>
    <d v="2025-02-02T00:00:00"/>
    <n v="2"/>
    <n v="2"/>
    <n v="2025"/>
    <x v="1"/>
    <x v="1"/>
    <x v="1"/>
    <n v="1"/>
    <n v="505"/>
    <n v="505"/>
    <m/>
  </r>
  <r>
    <s v="ORD0097"/>
    <d v="2025-01-19T00:00:00"/>
    <n v="19"/>
    <n v="1"/>
    <n v="2025"/>
    <x v="3"/>
    <x v="4"/>
    <x v="2"/>
    <n v="4"/>
    <n v="257"/>
    <n v="1028"/>
    <m/>
  </r>
  <r>
    <s v="ORD0098"/>
    <d v="2025-02-02T00:00:00"/>
    <n v="2"/>
    <n v="2"/>
    <n v="2025"/>
    <x v="2"/>
    <x v="2"/>
    <x v="2"/>
    <n v="6"/>
    <n v="300"/>
    <n v="1800"/>
    <m/>
  </r>
  <r>
    <s v="ORD0099"/>
    <d v="2025-01-16T00:00:00"/>
    <n v="16"/>
    <n v="1"/>
    <n v="2025"/>
    <x v="2"/>
    <x v="2"/>
    <x v="2"/>
    <n v="6"/>
    <n v="65"/>
    <n v="390"/>
    <m/>
  </r>
  <r>
    <s v="ORD0100"/>
    <d v="2025-02-24T00:00:00"/>
    <n v="24"/>
    <n v="2"/>
    <n v="2025"/>
    <x v="2"/>
    <x v="3"/>
    <x v="0"/>
    <n v="5"/>
    <n v="340"/>
    <n v="1700"/>
    <m/>
  </r>
  <r>
    <s v="ORD0101"/>
    <d v="2025-02-14T00:00:00"/>
    <n v="14"/>
    <n v="2"/>
    <n v="2025"/>
    <x v="0"/>
    <x v="5"/>
    <x v="2"/>
    <n v="6"/>
    <n v="326"/>
    <n v="1956"/>
    <m/>
  </r>
  <r>
    <s v="ORD0102"/>
    <d v="2025-01-22T00:00:00"/>
    <n v="22"/>
    <n v="1"/>
    <n v="2025"/>
    <x v="2"/>
    <x v="6"/>
    <x v="2"/>
    <n v="7"/>
    <n v="146"/>
    <n v="1022"/>
    <m/>
  </r>
  <r>
    <s v="ORD0103"/>
    <d v="2025-02-21T00:00:00"/>
    <n v="21"/>
    <n v="2"/>
    <n v="2025"/>
    <x v="0"/>
    <x v="4"/>
    <x v="2"/>
    <n v="7"/>
    <n v="251"/>
    <n v="1757"/>
    <m/>
  </r>
  <r>
    <s v="ORD0104"/>
    <d v="2025-03-01T00:00:00"/>
    <n v="1"/>
    <n v="3"/>
    <n v="2025"/>
    <x v="2"/>
    <x v="0"/>
    <x v="0"/>
    <n v="5"/>
    <n v="303"/>
    <n v="1515"/>
    <m/>
  </r>
  <r>
    <s v="ORD0105"/>
    <d v="2025-02-27T00:00:00"/>
    <n v="27"/>
    <n v="2"/>
    <n v="2025"/>
    <x v="1"/>
    <x v="1"/>
    <x v="1"/>
    <n v="7"/>
    <n v="396"/>
    <n v="2772"/>
    <m/>
  </r>
  <r>
    <s v="ORD0106"/>
    <d v="2025-02-27T00:00:00"/>
    <n v="27"/>
    <n v="2"/>
    <n v="2025"/>
    <x v="1"/>
    <x v="3"/>
    <x v="0"/>
    <n v="10"/>
    <n v="46"/>
    <n v="460"/>
    <m/>
  </r>
  <r>
    <s v="ORD0107"/>
    <d v="2025-02-03T00:00:00"/>
    <n v="3"/>
    <n v="2"/>
    <n v="2025"/>
    <x v="2"/>
    <x v="5"/>
    <x v="2"/>
    <n v="8"/>
    <n v="873"/>
    <n v="6984"/>
    <m/>
  </r>
  <r>
    <s v="ORD0108"/>
    <d v="2025-01-22T00:00:00"/>
    <n v="22"/>
    <n v="1"/>
    <n v="2025"/>
    <x v="1"/>
    <x v="1"/>
    <x v="1"/>
    <n v="8"/>
    <n v="619"/>
    <n v="4952"/>
    <m/>
  </r>
  <r>
    <s v="ORD0109"/>
    <d v="2025-01-04T00:00:00"/>
    <n v="4"/>
    <n v="1"/>
    <n v="2025"/>
    <x v="0"/>
    <x v="1"/>
    <x v="1"/>
    <n v="6"/>
    <n v="437"/>
    <n v="2622"/>
    <m/>
  </r>
  <r>
    <s v="ORD0110"/>
    <d v="2025-02-01T00:00:00"/>
    <n v="1"/>
    <n v="2"/>
    <n v="2025"/>
    <x v="3"/>
    <x v="5"/>
    <x v="2"/>
    <n v="9"/>
    <n v="809"/>
    <n v="7281"/>
    <m/>
  </r>
  <r>
    <s v="ORD0111"/>
    <d v="2025-01-17T00:00:00"/>
    <n v="17"/>
    <n v="1"/>
    <n v="2025"/>
    <x v="3"/>
    <x v="0"/>
    <x v="0"/>
    <n v="2"/>
    <n v="551"/>
    <n v="1102"/>
    <m/>
  </r>
  <r>
    <s v="ORD0112"/>
    <d v="2025-01-04T00:00:00"/>
    <n v="4"/>
    <n v="1"/>
    <n v="2025"/>
    <x v="3"/>
    <x v="5"/>
    <x v="2"/>
    <n v="6"/>
    <n v="362"/>
    <n v="2172"/>
    <m/>
  </r>
  <r>
    <s v="ORD0113"/>
    <d v="2025-01-20T00:00:00"/>
    <n v="20"/>
    <n v="1"/>
    <n v="2025"/>
    <x v="2"/>
    <x v="2"/>
    <x v="2"/>
    <n v="5"/>
    <n v="328"/>
    <n v="1640"/>
    <m/>
  </r>
  <r>
    <s v="ORD0114"/>
    <d v="2025-02-20T00:00:00"/>
    <n v="20"/>
    <n v="2"/>
    <n v="2025"/>
    <x v="3"/>
    <x v="6"/>
    <x v="2"/>
    <n v="6"/>
    <n v="389"/>
    <n v="2334"/>
    <m/>
  </r>
  <r>
    <s v="ORD0115"/>
    <d v="2025-01-18T00:00:00"/>
    <n v="18"/>
    <n v="1"/>
    <n v="2025"/>
    <x v="0"/>
    <x v="2"/>
    <x v="2"/>
    <n v="7"/>
    <n v="54"/>
    <n v="378"/>
    <m/>
  </r>
  <r>
    <s v="ORD0116"/>
    <d v="2025-02-13T00:00:00"/>
    <n v="13"/>
    <n v="2"/>
    <n v="2025"/>
    <x v="0"/>
    <x v="3"/>
    <x v="0"/>
    <n v="3"/>
    <n v="345"/>
    <n v="1035"/>
    <m/>
  </r>
  <r>
    <s v="ORD0117"/>
    <d v="2025-02-16T00:00:00"/>
    <n v="16"/>
    <n v="2"/>
    <n v="2025"/>
    <x v="1"/>
    <x v="6"/>
    <x v="2"/>
    <n v="9"/>
    <n v="863"/>
    <n v="7767"/>
    <m/>
  </r>
  <r>
    <s v="ORD0118"/>
    <d v="2025-02-23T00:00:00"/>
    <n v="23"/>
    <n v="2"/>
    <n v="2025"/>
    <x v="3"/>
    <x v="1"/>
    <x v="1"/>
    <n v="6"/>
    <n v="311"/>
    <n v="1866"/>
    <m/>
  </r>
  <r>
    <s v="ORD0119"/>
    <d v="2025-01-15T00:00:00"/>
    <n v="15"/>
    <n v="1"/>
    <n v="2025"/>
    <x v="2"/>
    <x v="1"/>
    <x v="1"/>
    <n v="9"/>
    <n v="417"/>
    <n v="3753"/>
    <m/>
  </r>
  <r>
    <s v="ORD0120"/>
    <d v="2025-02-11T00:00:00"/>
    <n v="11"/>
    <n v="2"/>
    <n v="2025"/>
    <x v="3"/>
    <x v="0"/>
    <x v="0"/>
    <n v="1"/>
    <n v="747"/>
    <n v="747"/>
    <m/>
  </r>
  <r>
    <s v="ORD0121"/>
    <d v="2025-01-23T00:00:00"/>
    <n v="23"/>
    <n v="1"/>
    <n v="2025"/>
    <x v="2"/>
    <x v="4"/>
    <x v="2"/>
    <n v="10"/>
    <n v="713"/>
    <n v="7130"/>
    <m/>
  </r>
  <r>
    <s v="ORD0122"/>
    <d v="2025-02-14T00:00:00"/>
    <n v="14"/>
    <n v="2"/>
    <n v="2025"/>
    <x v="0"/>
    <x v="6"/>
    <x v="2"/>
    <n v="7"/>
    <n v="280"/>
    <n v="1960"/>
    <m/>
  </r>
  <r>
    <s v="ORD0123"/>
    <d v="2025-02-16T00:00:00"/>
    <n v="16"/>
    <n v="2"/>
    <n v="2025"/>
    <x v="2"/>
    <x v="1"/>
    <x v="1"/>
    <n v="2"/>
    <n v="241"/>
    <n v="482"/>
    <m/>
  </r>
  <r>
    <s v="ORD0124"/>
    <d v="2025-01-18T00:00:00"/>
    <n v="18"/>
    <n v="1"/>
    <n v="2025"/>
    <x v="2"/>
    <x v="6"/>
    <x v="2"/>
    <n v="10"/>
    <n v="40"/>
    <n v="400"/>
    <m/>
  </r>
  <r>
    <s v="ORD0125"/>
    <d v="2025-01-30T00:00:00"/>
    <n v="30"/>
    <n v="1"/>
    <n v="2025"/>
    <x v="1"/>
    <x v="3"/>
    <x v="0"/>
    <n v="9"/>
    <n v="99"/>
    <n v="891"/>
    <m/>
  </r>
  <r>
    <s v="ORD0126"/>
    <d v="2025-01-05T00:00:00"/>
    <n v="5"/>
    <n v="1"/>
    <n v="2025"/>
    <x v="3"/>
    <x v="1"/>
    <x v="1"/>
    <n v="9"/>
    <n v="307"/>
    <n v="2763"/>
    <m/>
  </r>
  <r>
    <s v="ORD0127"/>
    <d v="2025-02-27T00:00:00"/>
    <n v="27"/>
    <n v="2"/>
    <n v="2025"/>
    <x v="3"/>
    <x v="5"/>
    <x v="2"/>
    <n v="3"/>
    <n v="682"/>
    <n v="2046"/>
    <m/>
  </r>
  <r>
    <s v="ORD0128"/>
    <d v="2025-01-31T00:00:00"/>
    <n v="31"/>
    <n v="1"/>
    <n v="2025"/>
    <x v="2"/>
    <x v="5"/>
    <x v="2"/>
    <n v="3"/>
    <n v="544"/>
    <n v="1632"/>
    <m/>
  </r>
  <r>
    <s v="ORD0129"/>
    <d v="2025-01-30T00:00:00"/>
    <n v="30"/>
    <n v="1"/>
    <n v="2025"/>
    <x v="0"/>
    <x v="5"/>
    <x v="2"/>
    <n v="5"/>
    <n v="141"/>
    <n v="705"/>
    <m/>
  </r>
  <r>
    <s v="ORD0130"/>
    <d v="2025-01-30T00:00:00"/>
    <n v="30"/>
    <n v="1"/>
    <n v="2025"/>
    <x v="1"/>
    <x v="3"/>
    <x v="0"/>
    <n v="2"/>
    <n v="724"/>
    <n v="1448"/>
    <m/>
  </r>
  <r>
    <s v="ORD0131"/>
    <d v="2025-02-25T00:00:00"/>
    <n v="25"/>
    <n v="2"/>
    <n v="2025"/>
    <x v="3"/>
    <x v="4"/>
    <x v="2"/>
    <n v="2"/>
    <n v="793"/>
    <n v="1586"/>
    <m/>
  </r>
  <r>
    <s v="ORD0132"/>
    <d v="2025-01-31T00:00:00"/>
    <n v="31"/>
    <n v="1"/>
    <n v="2025"/>
    <x v="1"/>
    <x v="6"/>
    <x v="2"/>
    <n v="2"/>
    <n v="554"/>
    <n v="1108"/>
    <m/>
  </r>
  <r>
    <s v="ORD0133"/>
    <d v="2025-01-04T00:00:00"/>
    <n v="4"/>
    <n v="1"/>
    <n v="2025"/>
    <x v="3"/>
    <x v="6"/>
    <x v="2"/>
    <n v="4"/>
    <n v="743"/>
    <n v="2972"/>
    <m/>
  </r>
  <r>
    <s v="ORD0134"/>
    <d v="2025-02-15T00:00:00"/>
    <n v="15"/>
    <n v="2"/>
    <n v="2025"/>
    <x v="1"/>
    <x v="2"/>
    <x v="2"/>
    <n v="3"/>
    <n v="193"/>
    <n v="579"/>
    <m/>
  </r>
  <r>
    <s v="ORD0135"/>
    <d v="2025-02-19T00:00:00"/>
    <n v="19"/>
    <n v="2"/>
    <n v="2025"/>
    <x v="0"/>
    <x v="6"/>
    <x v="2"/>
    <n v="1"/>
    <n v="851"/>
    <n v="851"/>
    <m/>
  </r>
  <r>
    <s v="ORD0136"/>
    <d v="2025-02-05T00:00:00"/>
    <n v="5"/>
    <n v="2"/>
    <n v="2025"/>
    <x v="0"/>
    <x v="2"/>
    <x v="2"/>
    <n v="5"/>
    <n v="448"/>
    <n v="2240"/>
    <m/>
  </r>
  <r>
    <s v="ORD0137"/>
    <d v="2025-01-08T00:00:00"/>
    <n v="8"/>
    <n v="1"/>
    <n v="2025"/>
    <x v="2"/>
    <x v="2"/>
    <x v="2"/>
    <n v="9"/>
    <n v="231"/>
    <n v="2079"/>
    <m/>
  </r>
  <r>
    <s v="ORD0138"/>
    <d v="2025-01-04T00:00:00"/>
    <n v="4"/>
    <n v="1"/>
    <n v="2025"/>
    <x v="2"/>
    <x v="2"/>
    <x v="2"/>
    <n v="8"/>
    <n v="191"/>
    <n v="1528"/>
    <m/>
  </r>
  <r>
    <s v="ORD0139"/>
    <d v="2025-01-08T00:00:00"/>
    <n v="8"/>
    <n v="1"/>
    <n v="2025"/>
    <x v="3"/>
    <x v="2"/>
    <x v="2"/>
    <n v="5"/>
    <n v="479"/>
    <n v="2395"/>
    <m/>
  </r>
  <r>
    <s v="ORD0140"/>
    <d v="2025-02-13T00:00:00"/>
    <n v="13"/>
    <n v="2"/>
    <n v="2025"/>
    <x v="2"/>
    <x v="0"/>
    <x v="0"/>
    <n v="9"/>
    <n v="308"/>
    <n v="2772"/>
    <m/>
  </r>
  <r>
    <s v="ORD0141"/>
    <d v="2025-01-07T00:00:00"/>
    <n v="7"/>
    <n v="1"/>
    <n v="2025"/>
    <x v="0"/>
    <x v="0"/>
    <x v="0"/>
    <n v="3"/>
    <n v="292"/>
    <n v="876"/>
    <m/>
  </r>
  <r>
    <s v="ORD0142"/>
    <d v="2025-01-03T00:00:00"/>
    <n v="3"/>
    <n v="1"/>
    <n v="2025"/>
    <x v="1"/>
    <x v="0"/>
    <x v="0"/>
    <n v="5"/>
    <n v="493"/>
    <n v="2465"/>
    <m/>
  </r>
  <r>
    <s v="ORD0143"/>
    <d v="2025-01-28T00:00:00"/>
    <n v="28"/>
    <n v="1"/>
    <n v="2025"/>
    <x v="2"/>
    <x v="3"/>
    <x v="0"/>
    <n v="2"/>
    <n v="645"/>
    <n v="1290"/>
    <m/>
  </r>
  <r>
    <s v="ORD0144"/>
    <d v="2025-02-13T00:00:00"/>
    <n v="13"/>
    <n v="2"/>
    <n v="2025"/>
    <x v="2"/>
    <x v="4"/>
    <x v="2"/>
    <n v="7"/>
    <n v="851"/>
    <n v="5957"/>
    <m/>
  </r>
  <r>
    <s v="ORD0145"/>
    <d v="2025-02-11T00:00:00"/>
    <n v="11"/>
    <n v="2"/>
    <n v="2025"/>
    <x v="0"/>
    <x v="1"/>
    <x v="1"/>
    <n v="8"/>
    <n v="497"/>
    <n v="3976"/>
    <m/>
  </r>
  <r>
    <s v="ORD0146"/>
    <d v="2025-02-12T00:00:00"/>
    <n v="12"/>
    <n v="2"/>
    <n v="2025"/>
    <x v="0"/>
    <x v="3"/>
    <x v="0"/>
    <n v="2"/>
    <n v="722"/>
    <n v="1444"/>
    <m/>
  </r>
  <r>
    <s v="ORD0147"/>
    <d v="2025-01-02T00:00:00"/>
    <n v="2"/>
    <n v="1"/>
    <n v="2025"/>
    <x v="1"/>
    <x v="1"/>
    <x v="1"/>
    <n v="3"/>
    <n v="332"/>
    <n v="996"/>
    <m/>
  </r>
  <r>
    <s v="ORD0148"/>
    <d v="2025-02-07T00:00:00"/>
    <n v="7"/>
    <n v="2"/>
    <n v="2025"/>
    <x v="2"/>
    <x v="2"/>
    <x v="2"/>
    <n v="5"/>
    <n v="90"/>
    <n v="450"/>
    <m/>
  </r>
  <r>
    <s v="ORD0149"/>
    <d v="2025-01-13T00:00:00"/>
    <n v="13"/>
    <n v="1"/>
    <n v="2025"/>
    <x v="3"/>
    <x v="6"/>
    <x v="2"/>
    <n v="4"/>
    <n v="328"/>
    <n v="1312"/>
    <m/>
  </r>
  <r>
    <s v="ORD0150"/>
    <d v="2025-02-25T00:00:00"/>
    <n v="25"/>
    <n v="2"/>
    <n v="2025"/>
    <x v="3"/>
    <x v="1"/>
    <x v="1"/>
    <n v="4"/>
    <n v="865"/>
    <n v="3460"/>
    <m/>
  </r>
  <r>
    <s v="ORD0151"/>
    <d v="2025-01-19T00:00:00"/>
    <n v="19"/>
    <n v="1"/>
    <n v="2025"/>
    <x v="1"/>
    <x v="6"/>
    <x v="2"/>
    <n v="9"/>
    <n v="237"/>
    <n v="2133"/>
    <m/>
  </r>
  <r>
    <s v="ORD0152"/>
    <d v="2025-02-14T00:00:00"/>
    <n v="14"/>
    <n v="2"/>
    <n v="2025"/>
    <x v="0"/>
    <x v="0"/>
    <x v="0"/>
    <n v="6"/>
    <n v="438"/>
    <n v="2628"/>
    <m/>
  </r>
  <r>
    <s v="ORD0153"/>
    <d v="2025-02-27T00:00:00"/>
    <n v="27"/>
    <n v="2"/>
    <n v="2025"/>
    <x v="0"/>
    <x v="2"/>
    <x v="2"/>
    <n v="4"/>
    <n v="528"/>
    <n v="2112"/>
    <m/>
  </r>
  <r>
    <s v="ORD0154"/>
    <d v="2025-01-27T00:00:00"/>
    <n v="27"/>
    <n v="1"/>
    <n v="2025"/>
    <x v="3"/>
    <x v="0"/>
    <x v="0"/>
    <n v="7"/>
    <n v="719"/>
    <n v="5033"/>
    <m/>
  </r>
  <r>
    <s v="ORD0155"/>
    <d v="2025-03-01T00:00:00"/>
    <n v="1"/>
    <n v="3"/>
    <n v="2025"/>
    <x v="2"/>
    <x v="1"/>
    <x v="1"/>
    <n v="5"/>
    <n v="207"/>
    <n v="1035"/>
    <m/>
  </r>
  <r>
    <s v="ORD0156"/>
    <d v="2025-01-01T00:00:00"/>
    <n v="1"/>
    <n v="1"/>
    <n v="2025"/>
    <x v="0"/>
    <x v="1"/>
    <x v="1"/>
    <n v="7"/>
    <n v="271"/>
    <n v="1897"/>
    <m/>
  </r>
  <r>
    <s v="ORD0157"/>
    <d v="2025-01-09T00:00:00"/>
    <n v="9"/>
    <n v="1"/>
    <n v="2025"/>
    <x v="3"/>
    <x v="3"/>
    <x v="0"/>
    <n v="7"/>
    <n v="717"/>
    <n v="5019"/>
    <m/>
  </r>
  <r>
    <s v="ORD0158"/>
    <d v="2025-02-27T00:00:00"/>
    <n v="27"/>
    <n v="2"/>
    <n v="2025"/>
    <x v="3"/>
    <x v="3"/>
    <x v="0"/>
    <n v="5"/>
    <n v="145"/>
    <n v="725"/>
    <m/>
  </r>
  <r>
    <s v="ORD0159"/>
    <d v="2025-02-12T00:00:00"/>
    <n v="12"/>
    <n v="2"/>
    <n v="2025"/>
    <x v="3"/>
    <x v="2"/>
    <x v="2"/>
    <n v="7"/>
    <n v="234"/>
    <n v="1638"/>
    <m/>
  </r>
  <r>
    <s v="ORD0160"/>
    <d v="2025-02-17T00:00:00"/>
    <n v="17"/>
    <n v="2"/>
    <n v="2025"/>
    <x v="3"/>
    <x v="5"/>
    <x v="2"/>
    <n v="6"/>
    <n v="852"/>
    <n v="5112"/>
    <m/>
  </r>
  <r>
    <s v="ORD0161"/>
    <d v="2025-02-22T00:00:00"/>
    <n v="22"/>
    <n v="2"/>
    <n v="2025"/>
    <x v="1"/>
    <x v="1"/>
    <x v="1"/>
    <n v="10"/>
    <n v="594"/>
    <n v="5940"/>
    <m/>
  </r>
  <r>
    <s v="ORD0162"/>
    <d v="2025-01-08T00:00:00"/>
    <n v="8"/>
    <n v="1"/>
    <n v="2025"/>
    <x v="1"/>
    <x v="4"/>
    <x v="2"/>
    <n v="9"/>
    <n v="264"/>
    <n v="2376"/>
    <m/>
  </r>
  <r>
    <s v="ORD0163"/>
    <d v="2025-01-18T00:00:00"/>
    <n v="18"/>
    <n v="1"/>
    <n v="2025"/>
    <x v="1"/>
    <x v="0"/>
    <x v="0"/>
    <n v="8"/>
    <n v="593"/>
    <n v="4744"/>
    <m/>
  </r>
  <r>
    <s v="ORD0164"/>
    <d v="2025-01-18T00:00:00"/>
    <n v="18"/>
    <n v="1"/>
    <n v="2025"/>
    <x v="1"/>
    <x v="4"/>
    <x v="2"/>
    <n v="8"/>
    <n v="692"/>
    <n v="5536"/>
    <m/>
  </r>
  <r>
    <s v="ORD0165"/>
    <d v="2025-02-04T00:00:00"/>
    <n v="4"/>
    <n v="2"/>
    <n v="2025"/>
    <x v="2"/>
    <x v="3"/>
    <x v="0"/>
    <n v="6"/>
    <n v="676"/>
    <n v="4056"/>
    <m/>
  </r>
  <r>
    <s v="ORD0166"/>
    <d v="2025-02-06T00:00:00"/>
    <n v="6"/>
    <n v="2"/>
    <n v="2025"/>
    <x v="1"/>
    <x v="3"/>
    <x v="0"/>
    <n v="1"/>
    <n v="681"/>
    <n v="681"/>
    <m/>
  </r>
  <r>
    <s v="ORD0167"/>
    <d v="2025-02-19T00:00:00"/>
    <n v="19"/>
    <n v="2"/>
    <n v="2025"/>
    <x v="0"/>
    <x v="3"/>
    <x v="0"/>
    <n v="1"/>
    <n v="590"/>
    <n v="590"/>
    <m/>
  </r>
  <r>
    <s v="ORD0168"/>
    <d v="2025-02-16T00:00:00"/>
    <n v="16"/>
    <n v="2"/>
    <n v="2025"/>
    <x v="2"/>
    <x v="5"/>
    <x v="2"/>
    <n v="9"/>
    <n v="310"/>
    <n v="2790"/>
    <m/>
  </r>
  <r>
    <s v="ORD0169"/>
    <d v="2025-02-26T00:00:00"/>
    <n v="26"/>
    <n v="2"/>
    <n v="2025"/>
    <x v="2"/>
    <x v="5"/>
    <x v="2"/>
    <n v="1"/>
    <n v="787"/>
    <n v="787"/>
    <m/>
  </r>
  <r>
    <s v="ORD0170"/>
    <d v="2025-01-17T00:00:00"/>
    <n v="17"/>
    <n v="1"/>
    <n v="2025"/>
    <x v="3"/>
    <x v="5"/>
    <x v="2"/>
    <n v="10"/>
    <n v="123"/>
    <n v="1230"/>
    <m/>
  </r>
  <r>
    <s v="ORD0171"/>
    <d v="2025-02-15T00:00:00"/>
    <n v="15"/>
    <n v="2"/>
    <n v="2025"/>
    <x v="2"/>
    <x v="1"/>
    <x v="1"/>
    <n v="8"/>
    <n v="37"/>
    <n v="296"/>
    <m/>
  </r>
  <r>
    <s v="ORD0172"/>
    <d v="2025-02-05T00:00:00"/>
    <n v="5"/>
    <n v="2"/>
    <n v="2025"/>
    <x v="3"/>
    <x v="6"/>
    <x v="2"/>
    <n v="1"/>
    <n v="139"/>
    <n v="139"/>
    <m/>
  </r>
  <r>
    <s v="ORD0173"/>
    <d v="2025-02-20T00:00:00"/>
    <n v="20"/>
    <n v="2"/>
    <n v="2025"/>
    <x v="1"/>
    <x v="0"/>
    <x v="0"/>
    <n v="10"/>
    <n v="169"/>
    <n v="1690"/>
    <m/>
  </r>
  <r>
    <s v="ORD0174"/>
    <d v="2025-02-27T00:00:00"/>
    <n v="27"/>
    <n v="2"/>
    <n v="2025"/>
    <x v="2"/>
    <x v="5"/>
    <x v="2"/>
    <n v="1"/>
    <n v="117"/>
    <n v="117"/>
    <m/>
  </r>
  <r>
    <s v="ORD0175"/>
    <d v="2025-01-02T00:00:00"/>
    <n v="2"/>
    <n v="1"/>
    <n v="2025"/>
    <x v="0"/>
    <x v="1"/>
    <x v="1"/>
    <n v="7"/>
    <n v="371"/>
    <n v="2597"/>
    <m/>
  </r>
  <r>
    <s v="ORD0176"/>
    <d v="2025-01-28T00:00:00"/>
    <n v="28"/>
    <n v="1"/>
    <n v="2025"/>
    <x v="1"/>
    <x v="1"/>
    <x v="1"/>
    <n v="5"/>
    <n v="240"/>
    <n v="1200"/>
    <m/>
  </r>
  <r>
    <s v="ORD0177"/>
    <d v="2025-02-18T00:00:00"/>
    <n v="18"/>
    <n v="2"/>
    <n v="2025"/>
    <x v="2"/>
    <x v="4"/>
    <x v="2"/>
    <n v="3"/>
    <n v="748"/>
    <n v="2244"/>
    <m/>
  </r>
  <r>
    <s v="ORD0178"/>
    <d v="2025-02-01T00:00:00"/>
    <n v="1"/>
    <n v="2"/>
    <n v="2025"/>
    <x v="3"/>
    <x v="3"/>
    <x v="0"/>
    <n v="1"/>
    <n v="798"/>
    <n v="798"/>
    <m/>
  </r>
  <r>
    <s v="ORD0179"/>
    <d v="2025-01-23T00:00:00"/>
    <n v="23"/>
    <n v="1"/>
    <n v="2025"/>
    <x v="3"/>
    <x v="0"/>
    <x v="0"/>
    <n v="10"/>
    <n v="361"/>
    <n v="3610"/>
    <m/>
  </r>
  <r>
    <s v="ORD0180"/>
    <d v="2025-01-08T00:00:00"/>
    <n v="8"/>
    <n v="1"/>
    <n v="2025"/>
    <x v="1"/>
    <x v="2"/>
    <x v="2"/>
    <n v="6"/>
    <n v="68"/>
    <n v="408"/>
    <m/>
  </r>
  <r>
    <s v="ORD0181"/>
    <d v="2025-01-08T00:00:00"/>
    <n v="8"/>
    <n v="1"/>
    <n v="2025"/>
    <x v="3"/>
    <x v="4"/>
    <x v="2"/>
    <n v="3"/>
    <n v="672"/>
    <n v="2016"/>
    <m/>
  </r>
  <r>
    <s v="ORD0182"/>
    <d v="2025-02-23T00:00:00"/>
    <n v="23"/>
    <n v="2"/>
    <n v="2025"/>
    <x v="2"/>
    <x v="3"/>
    <x v="0"/>
    <n v="6"/>
    <n v="309"/>
    <n v="1854"/>
    <m/>
  </r>
  <r>
    <s v="ORD0183"/>
    <d v="2025-02-10T00:00:00"/>
    <n v="10"/>
    <n v="2"/>
    <n v="2025"/>
    <x v="3"/>
    <x v="6"/>
    <x v="2"/>
    <n v="8"/>
    <n v="346"/>
    <n v="2768"/>
    <m/>
  </r>
  <r>
    <s v="ORD0184"/>
    <d v="2025-01-16T00:00:00"/>
    <n v="16"/>
    <n v="1"/>
    <n v="2025"/>
    <x v="3"/>
    <x v="6"/>
    <x v="2"/>
    <n v="2"/>
    <n v="200"/>
    <n v="400"/>
    <m/>
  </r>
  <r>
    <s v="ORD0185"/>
    <d v="2025-01-11T00:00:00"/>
    <n v="11"/>
    <n v="1"/>
    <n v="2025"/>
    <x v="2"/>
    <x v="4"/>
    <x v="2"/>
    <n v="1"/>
    <n v="818"/>
    <n v="818"/>
    <m/>
  </r>
  <r>
    <s v="ORD0186"/>
    <d v="2025-02-08T00:00:00"/>
    <n v="8"/>
    <n v="2"/>
    <n v="2025"/>
    <x v="2"/>
    <x v="1"/>
    <x v="1"/>
    <n v="4"/>
    <n v="81"/>
    <n v="324"/>
    <m/>
  </r>
  <r>
    <s v="ORD0187"/>
    <d v="2025-02-09T00:00:00"/>
    <n v="9"/>
    <n v="2"/>
    <n v="2025"/>
    <x v="2"/>
    <x v="6"/>
    <x v="2"/>
    <n v="7"/>
    <n v="399"/>
    <n v="2793"/>
    <m/>
  </r>
  <r>
    <s v="ORD0188"/>
    <d v="2025-02-01T00:00:00"/>
    <n v="1"/>
    <n v="2"/>
    <n v="2025"/>
    <x v="1"/>
    <x v="1"/>
    <x v="1"/>
    <n v="10"/>
    <n v="890"/>
    <n v="8900"/>
    <m/>
  </r>
  <r>
    <s v="ORD0189"/>
    <d v="2025-02-17T00:00:00"/>
    <n v="17"/>
    <n v="2"/>
    <n v="2025"/>
    <x v="1"/>
    <x v="2"/>
    <x v="2"/>
    <n v="5"/>
    <n v="475"/>
    <n v="2375"/>
    <m/>
  </r>
  <r>
    <s v="ORD0190"/>
    <d v="2025-01-20T00:00:00"/>
    <n v="20"/>
    <n v="1"/>
    <n v="2025"/>
    <x v="3"/>
    <x v="2"/>
    <x v="2"/>
    <n v="10"/>
    <n v="564"/>
    <n v="5640"/>
    <m/>
  </r>
  <r>
    <s v="ORD0191"/>
    <d v="2025-02-13T00:00:00"/>
    <n v="13"/>
    <n v="2"/>
    <n v="2025"/>
    <x v="2"/>
    <x v="4"/>
    <x v="2"/>
    <n v="10"/>
    <n v="580"/>
    <n v="5800"/>
    <m/>
  </r>
  <r>
    <s v="ORD0192"/>
    <d v="2025-02-03T00:00:00"/>
    <n v="3"/>
    <n v="2"/>
    <n v="2025"/>
    <x v="3"/>
    <x v="6"/>
    <x v="2"/>
    <n v="4"/>
    <n v="693"/>
    <n v="2772"/>
    <m/>
  </r>
  <r>
    <s v="ORD0193"/>
    <d v="2025-02-19T00:00:00"/>
    <n v="19"/>
    <n v="2"/>
    <n v="2025"/>
    <x v="2"/>
    <x v="0"/>
    <x v="0"/>
    <n v="7"/>
    <n v="233"/>
    <n v="1631"/>
    <m/>
  </r>
  <r>
    <s v="ORD0194"/>
    <d v="2025-01-12T00:00:00"/>
    <n v="12"/>
    <n v="1"/>
    <n v="2025"/>
    <x v="0"/>
    <x v="5"/>
    <x v="2"/>
    <n v="2"/>
    <n v="655"/>
    <n v="1310"/>
    <m/>
  </r>
  <r>
    <s v="ORD0195"/>
    <d v="2025-01-08T00:00:00"/>
    <n v="8"/>
    <n v="1"/>
    <n v="2025"/>
    <x v="3"/>
    <x v="5"/>
    <x v="2"/>
    <n v="5"/>
    <n v="408"/>
    <n v="2040"/>
    <m/>
  </r>
  <r>
    <s v="ORD0196"/>
    <d v="2025-01-22T00:00:00"/>
    <n v="22"/>
    <n v="1"/>
    <n v="2025"/>
    <x v="3"/>
    <x v="6"/>
    <x v="2"/>
    <n v="10"/>
    <n v="49"/>
    <n v="490"/>
    <m/>
  </r>
  <r>
    <s v="ORD0197"/>
    <d v="2025-01-15T00:00:00"/>
    <n v="15"/>
    <n v="1"/>
    <n v="2025"/>
    <x v="0"/>
    <x v="3"/>
    <x v="0"/>
    <n v="6"/>
    <n v="125"/>
    <n v="750"/>
    <m/>
  </r>
  <r>
    <s v="ORD0198"/>
    <d v="2025-02-11T00:00:00"/>
    <n v="11"/>
    <n v="2"/>
    <n v="2025"/>
    <x v="0"/>
    <x v="0"/>
    <x v="0"/>
    <n v="4"/>
    <n v="363"/>
    <n v="1452"/>
    <m/>
  </r>
  <r>
    <s v="ORD0199"/>
    <d v="2025-01-23T00:00:00"/>
    <n v="23"/>
    <n v="1"/>
    <n v="2025"/>
    <x v="1"/>
    <x v="3"/>
    <x v="0"/>
    <n v="5"/>
    <n v="611"/>
    <n v="3055"/>
    <m/>
  </r>
  <r>
    <s v="ORD0200"/>
    <d v="2025-01-01T00:00:00"/>
    <n v="1"/>
    <n v="1"/>
    <n v="2025"/>
    <x v="2"/>
    <x v="5"/>
    <x v="2"/>
    <n v="2"/>
    <n v="636"/>
    <n v="127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8319DA-CA4E-4431-ADE0-C7B49EDF1398}" name="PivotTable2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product category">
  <location ref="C14:D25" firstHeaderRow="1" firstDataRow="1" firstDataCol="1"/>
  <pivotFields count="12">
    <pivotField showAll="0"/>
    <pivotField numFmtId="14" showAll="0"/>
    <pivotField showAll="0"/>
    <pivotField showAll="0"/>
    <pivotField showAll="0"/>
    <pivotField showAll="0"/>
    <pivotField axis="axisRow" showAll="0">
      <items count="8">
        <item x="1"/>
        <item x="4"/>
        <item x="2"/>
        <item x="6"/>
        <item x="5"/>
        <item x="0"/>
        <item x="3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  <pivotField showAll="0"/>
    <pivotField dataField="1" showAll="0"/>
    <pivotField showAll="0"/>
  </pivotFields>
  <rowFields count="2">
    <field x="7"/>
    <field x="6"/>
  </rowFields>
  <rowItems count="11">
    <i>
      <x/>
    </i>
    <i r="1">
      <x v="1"/>
    </i>
    <i r="1">
      <x v="2"/>
    </i>
    <i r="1">
      <x v="3"/>
    </i>
    <i r="1">
      <x v="4"/>
    </i>
    <i>
      <x v="1"/>
    </i>
    <i r="1">
      <x/>
    </i>
    <i>
      <x v="2"/>
    </i>
    <i r="1">
      <x v="5"/>
    </i>
    <i r="1">
      <x v="6"/>
    </i>
    <i t="grand">
      <x/>
    </i>
  </rowItems>
  <colItems count="1">
    <i/>
  </colItems>
  <dataFields count="1">
    <dataField name="Sum of Total_Revenue" fld="10" baseField="0" baseItem="0"/>
  </dataFields>
  <formats count="12">
    <format dxfId="70">
      <pivotArea type="all" dataOnly="0" outline="0" fieldPosition="0"/>
    </format>
    <format dxfId="60">
      <pivotArea outline="0" collapsedLevelsAreSubtotals="1" fieldPosition="0"/>
    </format>
    <format dxfId="59">
      <pivotArea field="7" type="button" dataOnly="0" labelOnly="1" outline="0" axis="axisRow" fieldPosition="0"/>
    </format>
    <format dxfId="58">
      <pivotArea dataOnly="0" labelOnly="1" fieldPosition="0">
        <references count="1">
          <reference field="7" count="0"/>
        </references>
      </pivotArea>
    </format>
    <format dxfId="57">
      <pivotArea dataOnly="0" labelOnly="1" grandRow="1" outline="0" fieldPosition="0"/>
    </format>
    <format dxfId="56">
      <pivotArea dataOnly="0" labelOnly="1" fieldPosition="0">
        <references count="2">
          <reference field="6" count="4">
            <x v="1"/>
            <x v="2"/>
            <x v="3"/>
            <x v="4"/>
          </reference>
          <reference field="7" count="1" selected="0">
            <x v="0"/>
          </reference>
        </references>
      </pivotArea>
    </format>
    <format dxfId="55">
      <pivotArea dataOnly="0" labelOnly="1" fieldPosition="0">
        <references count="2">
          <reference field="6" count="1">
            <x v="0"/>
          </reference>
          <reference field="7" count="1" selected="0">
            <x v="1"/>
          </reference>
        </references>
      </pivotArea>
    </format>
    <format dxfId="54">
      <pivotArea dataOnly="0" labelOnly="1" fieldPosition="0">
        <references count="2">
          <reference field="6" count="2">
            <x v="5"/>
            <x v="6"/>
          </reference>
          <reference field="7" count="1" selected="0">
            <x v="2"/>
          </reference>
        </references>
      </pivotArea>
    </format>
    <format dxfId="53">
      <pivotArea dataOnly="0" labelOnly="1" outline="0" axis="axisValues" fieldPosition="0"/>
    </format>
    <format dxfId="49">
      <pivotArea dataOnly="0" fieldPosition="0">
        <references count="2">
          <reference field="6" count="0" defaultSubtotal="1" sumSubtotal="1" countASubtotal="1" avgSubtotal="1" maxSubtotal="1" minSubtotal="1" productSubtotal="1" countSubtotal="1" stdDevSubtotal="1" stdDevPSubtotal="1" varSubtotal="1" varPSubtotal="1"/>
          <reference field="7" count="1">
            <x v="0"/>
          </reference>
        </references>
      </pivotArea>
    </format>
    <format dxfId="48">
      <pivotArea dataOnly="0" fieldPosition="0">
        <references count="1">
          <reference field="6" count="1">
            <x v="0"/>
          </reference>
        </references>
      </pivotArea>
    </format>
    <format dxfId="47">
      <pivotArea dataOnly="0" fieldPosition="0">
        <references count="2">
          <reference field="6" count="2">
            <x v="5"/>
            <x v="6"/>
          </reference>
          <reference field="7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BB548B-0FCA-4498-B3E7-5806D1DFF581}" name="PivotTable1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Region">
  <location ref="C5:D10" firstHeaderRow="1" firstDataRow="1" firstDataCol="1"/>
  <pivotFields count="12">
    <pivotField showAll="0"/>
    <pivotField numFmtId="14" showAll="0"/>
    <pivotField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Revenue" fld="10" baseField="0" baseItem="0"/>
  </dataFields>
  <formats count="8">
    <format dxfId="84">
      <pivotArea type="all" dataOnly="0" outline="0" fieldPosition="0"/>
    </format>
    <format dxfId="77">
      <pivotArea outline="0" collapsedLevelsAreSubtotals="1" fieldPosition="0"/>
    </format>
    <format dxfId="76">
      <pivotArea field="5" type="button" dataOnly="0" labelOnly="1" outline="0" axis="axisRow" fieldPosition="0"/>
    </format>
    <format dxfId="75">
      <pivotArea dataOnly="0" labelOnly="1" fieldPosition="0">
        <references count="1">
          <reference field="5" count="0"/>
        </references>
      </pivotArea>
    </format>
    <format dxfId="74">
      <pivotArea dataOnly="0" labelOnly="1" grandRow="1" outline="0" fieldPosition="0"/>
    </format>
    <format dxfId="73">
      <pivotArea dataOnly="0" labelOnly="1" outline="0" axis="axisValues" fieldPosition="0"/>
    </format>
    <format dxfId="51">
      <pivotArea dataOnly="0" labelOnly="1" fieldPosition="0">
        <references count="1">
          <reference field="5" count="0"/>
        </references>
      </pivotArea>
    </format>
    <format dxfId="50">
      <pivotArea collapsedLevelsAreSubtotals="1" fieldPosition="0">
        <references count="1">
          <reference field="5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A2FDFA-4728-4A6A-8EA2-8B03609A5996}" name="PivotTable3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24:B28" firstHeaderRow="1" firstDataRow="1" firstDataCol="1"/>
  <pivotFields count="12"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dataField="1"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Revenue" fld="10" baseField="0" baseItem="0"/>
  </dataFields>
  <formats count="8">
    <format dxfId="29">
      <pivotArea type="all" dataOnly="0" outline="0" fieldPosition="0"/>
    </format>
    <format dxfId="22">
      <pivotArea outline="0" collapsedLevelsAreSubtotals="1" fieldPosition="0"/>
    </format>
    <format dxfId="21">
      <pivotArea field="7" type="button" dataOnly="0" labelOnly="1" outline="0" axis="axisRow" fieldPosition="0"/>
    </format>
    <format dxfId="20">
      <pivotArea dataOnly="0" labelOnly="1" fieldPosition="0">
        <references count="1">
          <reference field="7" count="0"/>
        </references>
      </pivotArea>
    </format>
    <format dxfId="19">
      <pivotArea dataOnly="0" labelOnly="1" grandRow="1" outline="0" fieldPosition="0"/>
    </format>
    <format dxfId="18">
      <pivotArea dataOnly="0" labelOnly="1" outline="0" axis="axisValues" fieldPosition="0"/>
    </format>
    <format dxfId="16">
      <pivotArea collapsedLevelsAreSubtotals="1" fieldPosition="0">
        <references count="1">
          <reference field="7" count="0"/>
        </references>
      </pivotArea>
    </format>
    <format dxfId="15">
      <pivotArea dataOnly="0" labelOnly="1" fieldPosition="0">
        <references count="1">
          <reference field="7" count="0"/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8E0316-90B2-4375-A194-668065FA4CC5}" name="PivotTable1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5:B10" firstHeaderRow="1" firstDataRow="1" firstDataCol="1"/>
  <pivotFields count="12">
    <pivotField showAll="0"/>
    <pivotField numFmtId="14" showAll="0"/>
    <pivotField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Revenue" fld="10" baseField="5" baseItem="0"/>
  </dataFields>
  <formats count="8">
    <format dxfId="45">
      <pivotArea type="all" dataOnly="0" outline="0" fieldPosition="0"/>
    </format>
    <format dxfId="38">
      <pivotArea outline="0" collapsedLevelsAreSubtotals="1" fieldPosition="0"/>
    </format>
    <format dxfId="37">
      <pivotArea field="5" type="button" dataOnly="0" labelOnly="1" outline="0" axis="axisRow" fieldPosition="0"/>
    </format>
    <format dxfId="36">
      <pivotArea dataOnly="0" labelOnly="1" fieldPosition="0">
        <references count="1">
          <reference field="5" count="0"/>
        </references>
      </pivotArea>
    </format>
    <format dxfId="35">
      <pivotArea dataOnly="0" labelOnly="1" grandRow="1" outline="0" fieldPosition="0"/>
    </format>
    <format dxfId="34">
      <pivotArea dataOnly="0" labelOnly="1" outline="0" axis="axisValues" fieldPosition="0"/>
    </format>
    <format dxfId="32">
      <pivotArea collapsedLevelsAreSubtotals="1" fieldPosition="0">
        <references count="1">
          <reference field="5" count="0"/>
        </references>
      </pivotArea>
    </format>
    <format dxfId="31">
      <pivotArea dataOnly="0" labelOnly="1" fieldPosition="0">
        <references count="1">
          <reference field="5" count="0"/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14D81E4-C797-40BF-BD0F-D2ED6A264F9C}" autoFormatId="16" applyNumberFormats="0" applyBorderFormats="0" applyFontFormats="0" applyPatternFormats="0" applyAlignmentFormats="0" applyWidthHeightFormats="0">
  <queryTableRefresh nextId="20" unboundColumnsRight="1">
    <queryTableFields count="11">
      <queryTableField id="1" name="Order_ID" tableColumnId="1"/>
      <queryTableField id="15" dataBound="0" tableColumnId="12"/>
      <queryTableField id="9" name="Order_Date.1" tableColumnId="9"/>
      <queryTableField id="10" name="Order_Date.2" tableColumnId="10"/>
      <queryTableField id="11" name="Order_Date.3" tableColumnId="11"/>
      <queryTableField id="3" name="Region" tableColumnId="3"/>
      <queryTableField id="4" name="Product" tableColumnId="4"/>
      <queryTableField id="5" name="Category" tableColumnId="5"/>
      <queryTableField id="6" name="Quantity" tableColumnId="6"/>
      <queryTableField id="7" name="Unit_Price" tableColumnId="7"/>
      <queryTableField id="18" dataBound="0" tableColumnId="13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7A9548-33C4-45E4-9C74-C4AACF1F754D}" name="Table1" displayName="Table1" ref="A1:G201" totalsRowShown="0" headerRowDxfId="96" headerRowBorderDxfId="95" tableBorderDxfId="94" totalsRowBorderDxfId="93">
  <autoFilter ref="A1:G201" xr:uid="{E51BB347-9A5A-4C3F-938A-11A75AB40566}"/>
  <tableColumns count="7">
    <tableColumn id="1" xr3:uid="{4703F21C-2E12-47E2-8834-9E130B1B2156}" name="Order_ID" dataDxfId="92"/>
    <tableColumn id="2" xr3:uid="{AEA7A683-1DDC-463B-B49C-D5BAAC96477B}" name="Order_Date" dataDxfId="91"/>
    <tableColumn id="3" xr3:uid="{B51161F8-09B3-4537-A5A5-FAE1509BD159}" name="Region" dataDxfId="90"/>
    <tableColumn id="4" xr3:uid="{4701DCB5-5C2A-4CFD-8B0B-EA3377F7E1AA}" name="Product" dataDxfId="89"/>
    <tableColumn id="5" xr3:uid="{58C34A1C-5120-42C8-B75D-376EF657213F}" name="Category" dataDxfId="88"/>
    <tableColumn id="6" xr3:uid="{D1BF8C3B-8C15-4F6B-B0E6-799DB8CD3D48}" name="Quantity" dataDxfId="87"/>
    <tableColumn id="7" xr3:uid="{6175D46F-F77B-4258-9836-C30D9CF2400E}" name="Unit_Price" dataDxfId="86"/>
  </tableColumns>
  <tableStyleInfo name="TableStyleMedium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A533C60-F6F2-4BC2-99E2-0C6221231C25}" name="Table1__2" displayName="Table1__2" ref="A4:K204" tableType="queryTable" totalsRowShown="0" headerRowDxfId="0" headerRowBorderDxfId="13" tableBorderDxfId="14" totalsRowBorderDxfId="12">
  <autoFilter ref="A4:K204" xr:uid="{85D879EC-DA4F-4A63-A646-DB01A59F601D}"/>
  <sortState ref="A5:K204">
    <sortCondition descending="1" ref="K4:K204"/>
  </sortState>
  <tableColumns count="11">
    <tableColumn id="1" xr3:uid="{CFC0D992-83EA-48C5-9EDB-F9A51212284E}" uniqueName="1" name="Order_ID" queryTableFieldId="1" dataDxfId="11"/>
    <tableColumn id="12" xr3:uid="{CC5B91BE-31D1-443E-80CF-387005A1E701}" uniqueName="12" name="Order_Date" queryTableFieldId="15" dataDxfId="10">
      <calculatedColumnFormula>DATE(Table1__2[[#This Row],[Year]],Table1__2[[#This Row],[Month]],Table1__2[[#This Row],[Day]])</calculatedColumnFormula>
    </tableColumn>
    <tableColumn id="9" xr3:uid="{ADAED000-3171-48A7-A420-48E75EE71F48}" uniqueName="9" name="Day" queryTableFieldId="9" dataDxfId="9"/>
    <tableColumn id="10" xr3:uid="{F66877B8-FCFF-4508-A757-5D66D6BB7604}" uniqueName="10" name="Month" queryTableFieldId="10" dataDxfId="8"/>
    <tableColumn id="11" xr3:uid="{13CA416D-6DD3-41EE-98E2-CDC96769AEEE}" uniqueName="11" name="Year" queryTableFieldId="11" dataDxfId="7"/>
    <tableColumn id="3" xr3:uid="{95A8DF86-E89A-498E-A9CF-6E399B60333B}" uniqueName="3" name="Region" queryTableFieldId="3" dataDxfId="6"/>
    <tableColumn id="4" xr3:uid="{C522EBA6-0E18-429D-9DA1-AC5197CF00EA}" uniqueName="4" name="Product" queryTableFieldId="4" dataDxfId="5"/>
    <tableColumn id="5" xr3:uid="{540795BD-49B1-4DBB-8058-B86AE32C20D4}" uniqueName="5" name="Category" queryTableFieldId="5" dataDxfId="4"/>
    <tableColumn id="6" xr3:uid="{29338D1C-01EB-4A4B-B94C-E84DE11DEF18}" uniqueName="6" name="Quantity" queryTableFieldId="6" dataDxfId="3"/>
    <tableColumn id="7" xr3:uid="{CC46BE51-C1D8-45F0-B291-3CC4F66F50CA}" uniqueName="7" name="Unit_Price" queryTableFieldId="7" dataDxfId="2"/>
    <tableColumn id="13" xr3:uid="{6EA21116-251A-4524-B693-1716A63A596B}" uniqueName="13" name="Total_Revenue" queryTableFieldId="18" dataDxfId="1">
      <calculatedColumnFormula>Table1__2[[#This Row],[Quantity]]*Table1__2[[#This Row],[Unit_Price]]</calculatedColumnFormula>
    </tableColumn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537AA-D046-4979-A03F-85B27D5F16DE}">
  <dimension ref="A1:A27"/>
  <sheetViews>
    <sheetView workbookViewId="0">
      <selection activeCell="E8" sqref="E8"/>
    </sheetView>
  </sheetViews>
  <sheetFormatPr defaultRowHeight="14.5" x14ac:dyDescent="0.35"/>
  <cols>
    <col min="1" max="1" width="94.1796875" bestFit="1" customWidth="1"/>
  </cols>
  <sheetData>
    <row r="1" spans="1:1" x14ac:dyDescent="0.35">
      <c r="A1" s="3" t="s">
        <v>221</v>
      </c>
    </row>
    <row r="3" spans="1:1" x14ac:dyDescent="0.35">
      <c r="A3" s="4" t="s">
        <v>222</v>
      </c>
    </row>
    <row r="4" spans="1:1" x14ac:dyDescent="0.35">
      <c r="A4" t="s">
        <v>223</v>
      </c>
    </row>
    <row r="5" spans="1:1" x14ac:dyDescent="0.35">
      <c r="A5" t="s">
        <v>224</v>
      </c>
    </row>
    <row r="7" spans="1:1" x14ac:dyDescent="0.35">
      <c r="A7" s="4" t="s">
        <v>225</v>
      </c>
    </row>
    <row r="8" spans="1:1" x14ac:dyDescent="0.35">
      <c r="A8" t="s">
        <v>226</v>
      </c>
    </row>
    <row r="9" spans="1:1" x14ac:dyDescent="0.35">
      <c r="A9" t="s">
        <v>227</v>
      </c>
    </row>
    <row r="11" spans="1:1" x14ac:dyDescent="0.35">
      <c r="A11" s="4" t="s">
        <v>228</v>
      </c>
    </row>
    <row r="12" spans="1:1" x14ac:dyDescent="0.35">
      <c r="A12" t="s">
        <v>229</v>
      </c>
    </row>
    <row r="13" spans="1:1" x14ac:dyDescent="0.35">
      <c r="A13" t="s">
        <v>230</v>
      </c>
    </row>
    <row r="14" spans="1:1" x14ac:dyDescent="0.35">
      <c r="A14" t="s">
        <v>231</v>
      </c>
    </row>
    <row r="15" spans="1:1" x14ac:dyDescent="0.35">
      <c r="A15" t="s">
        <v>232</v>
      </c>
    </row>
    <row r="16" spans="1:1" x14ac:dyDescent="0.35">
      <c r="A16" t="s">
        <v>233</v>
      </c>
    </row>
    <row r="17" spans="1:1" x14ac:dyDescent="0.35">
      <c r="A17" t="s">
        <v>234</v>
      </c>
    </row>
    <row r="18" spans="1:1" x14ac:dyDescent="0.35">
      <c r="A18" t="s">
        <v>235</v>
      </c>
    </row>
    <row r="20" spans="1:1" x14ac:dyDescent="0.35">
      <c r="A20" s="4" t="s">
        <v>236</v>
      </c>
    </row>
    <row r="21" spans="1:1" x14ac:dyDescent="0.35">
      <c r="A21" t="s">
        <v>237</v>
      </c>
    </row>
    <row r="22" spans="1:1" x14ac:dyDescent="0.35">
      <c r="A22" t="s">
        <v>238</v>
      </c>
    </row>
    <row r="23" spans="1:1" x14ac:dyDescent="0.35">
      <c r="A23" t="s">
        <v>239</v>
      </c>
    </row>
    <row r="24" spans="1:1" x14ac:dyDescent="0.35">
      <c r="A24" t="s">
        <v>240</v>
      </c>
    </row>
    <row r="26" spans="1:1" x14ac:dyDescent="0.35">
      <c r="A26" s="4" t="s">
        <v>241</v>
      </c>
    </row>
    <row r="27" spans="1:1" x14ac:dyDescent="0.35">
      <c r="A27" t="s">
        <v>242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0C6F4-171E-4B96-A3E9-E43A4EC05813}">
  <dimension ref="A1:G201"/>
  <sheetViews>
    <sheetView workbookViewId="0">
      <selection activeCell="K9" sqref="K9"/>
    </sheetView>
  </sheetViews>
  <sheetFormatPr defaultRowHeight="14.5" x14ac:dyDescent="0.35"/>
  <cols>
    <col min="1" max="1" width="12.81640625" customWidth="1"/>
    <col min="2" max="2" width="20.6328125" customWidth="1"/>
    <col min="3" max="3" width="11.26953125" customWidth="1"/>
    <col min="4" max="4" width="13.7265625" customWidth="1"/>
    <col min="5" max="5" width="14.54296875" customWidth="1"/>
    <col min="6" max="6" width="13.453125" customWidth="1"/>
    <col min="7" max="7" width="15.26953125" customWidth="1"/>
  </cols>
  <sheetData>
    <row r="1" spans="1:7" x14ac:dyDescent="0.35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3" t="s">
        <v>6</v>
      </c>
    </row>
    <row r="2" spans="1:7" x14ac:dyDescent="0.35">
      <c r="A2" s="5" t="s">
        <v>7</v>
      </c>
      <c r="B2" s="2">
        <v>45685</v>
      </c>
      <c r="C2" s="1" t="s">
        <v>8</v>
      </c>
      <c r="D2" s="1" t="s">
        <v>9</v>
      </c>
      <c r="E2" s="1" t="s">
        <v>10</v>
      </c>
      <c r="F2" s="1">
        <v>6</v>
      </c>
      <c r="G2" s="6">
        <v>142</v>
      </c>
    </row>
    <row r="3" spans="1:7" x14ac:dyDescent="0.35">
      <c r="A3" s="5" t="s">
        <v>11</v>
      </c>
      <c r="B3" s="2">
        <v>45686</v>
      </c>
      <c r="C3" s="1" t="s">
        <v>12</v>
      </c>
      <c r="D3" s="1" t="s">
        <v>13</v>
      </c>
      <c r="E3" s="1" t="s">
        <v>14</v>
      </c>
      <c r="F3" s="1">
        <v>4</v>
      </c>
      <c r="G3" s="6">
        <v>890</v>
      </c>
    </row>
    <row r="4" spans="1:7" x14ac:dyDescent="0.35">
      <c r="A4" s="5" t="s">
        <v>15</v>
      </c>
      <c r="B4" s="2">
        <v>45701</v>
      </c>
      <c r="C4" s="1" t="s">
        <v>8</v>
      </c>
      <c r="D4" s="1" t="s">
        <v>9</v>
      </c>
      <c r="E4" s="1" t="s">
        <v>10</v>
      </c>
      <c r="F4" s="1">
        <v>10</v>
      </c>
      <c r="G4" s="6">
        <v>786</v>
      </c>
    </row>
    <row r="5" spans="1:7" x14ac:dyDescent="0.35">
      <c r="A5" s="5" t="s">
        <v>16</v>
      </c>
      <c r="B5" s="2">
        <v>45662</v>
      </c>
      <c r="C5" s="1" t="s">
        <v>8</v>
      </c>
      <c r="D5" s="1" t="s">
        <v>17</v>
      </c>
      <c r="E5" s="1" t="s">
        <v>18</v>
      </c>
      <c r="F5" s="1">
        <v>2</v>
      </c>
      <c r="G5" s="6">
        <v>20</v>
      </c>
    </row>
    <row r="6" spans="1:7" x14ac:dyDescent="0.35">
      <c r="A6" s="5" t="s">
        <v>19</v>
      </c>
      <c r="B6" s="2">
        <v>45692</v>
      </c>
      <c r="C6" s="1" t="s">
        <v>8</v>
      </c>
      <c r="D6" s="1" t="s">
        <v>17</v>
      </c>
      <c r="E6" s="1" t="s">
        <v>18</v>
      </c>
      <c r="F6" s="1">
        <v>1</v>
      </c>
      <c r="G6" s="6">
        <v>74</v>
      </c>
    </row>
    <row r="7" spans="1:7" x14ac:dyDescent="0.35">
      <c r="A7" s="5" t="s">
        <v>20</v>
      </c>
      <c r="B7" s="2">
        <v>45711</v>
      </c>
      <c r="C7" s="1" t="s">
        <v>8</v>
      </c>
      <c r="D7" s="1" t="s">
        <v>13</v>
      </c>
      <c r="E7" s="1" t="s">
        <v>14</v>
      </c>
      <c r="F7" s="1">
        <v>4</v>
      </c>
      <c r="G7" s="6">
        <v>486</v>
      </c>
    </row>
    <row r="8" spans="1:7" x14ac:dyDescent="0.35">
      <c r="A8" s="5" t="s">
        <v>21</v>
      </c>
      <c r="B8" s="2">
        <v>45680</v>
      </c>
      <c r="C8" s="1" t="s">
        <v>8</v>
      </c>
      <c r="D8" s="1" t="s">
        <v>9</v>
      </c>
      <c r="E8" s="1" t="s">
        <v>10</v>
      </c>
      <c r="F8" s="1">
        <v>1</v>
      </c>
      <c r="G8" s="6">
        <v>560</v>
      </c>
    </row>
    <row r="9" spans="1:7" x14ac:dyDescent="0.35">
      <c r="A9" s="5" t="s">
        <v>22</v>
      </c>
      <c r="B9" s="2">
        <v>45715</v>
      </c>
      <c r="C9" s="1" t="s">
        <v>12</v>
      </c>
      <c r="D9" s="1" t="s">
        <v>23</v>
      </c>
      <c r="E9" s="1" t="s">
        <v>10</v>
      </c>
      <c r="F9" s="1">
        <v>2</v>
      </c>
      <c r="G9" s="6">
        <v>737</v>
      </c>
    </row>
    <row r="10" spans="1:7" x14ac:dyDescent="0.35">
      <c r="A10" s="5" t="s">
        <v>24</v>
      </c>
      <c r="B10" s="2">
        <v>45659</v>
      </c>
      <c r="C10" s="1" t="s">
        <v>25</v>
      </c>
      <c r="D10" s="1" t="s">
        <v>9</v>
      </c>
      <c r="E10" s="1" t="s">
        <v>10</v>
      </c>
      <c r="F10" s="1">
        <v>1</v>
      </c>
      <c r="G10" s="6">
        <v>647</v>
      </c>
    </row>
    <row r="11" spans="1:7" x14ac:dyDescent="0.35">
      <c r="A11" s="5" t="s">
        <v>26</v>
      </c>
      <c r="B11" s="2">
        <v>45702</v>
      </c>
      <c r="C11" s="1" t="s">
        <v>8</v>
      </c>
      <c r="D11" s="1" t="s">
        <v>27</v>
      </c>
      <c r="E11" s="1" t="s">
        <v>18</v>
      </c>
      <c r="F11" s="1">
        <v>6</v>
      </c>
      <c r="G11" s="6">
        <v>681</v>
      </c>
    </row>
    <row r="12" spans="1:7" x14ac:dyDescent="0.35">
      <c r="A12" s="5" t="s">
        <v>28</v>
      </c>
      <c r="B12" s="2">
        <v>45703</v>
      </c>
      <c r="C12" s="1" t="s">
        <v>29</v>
      </c>
      <c r="D12" s="1" t="s">
        <v>30</v>
      </c>
      <c r="E12" s="1" t="s">
        <v>18</v>
      </c>
      <c r="F12" s="1">
        <v>7</v>
      </c>
      <c r="G12" s="6">
        <v>429</v>
      </c>
    </row>
    <row r="13" spans="1:7" x14ac:dyDescent="0.35">
      <c r="A13" s="5" t="s">
        <v>31</v>
      </c>
      <c r="B13" s="2">
        <v>45679</v>
      </c>
      <c r="C13" s="1" t="s">
        <v>25</v>
      </c>
      <c r="D13" s="1" t="s">
        <v>32</v>
      </c>
      <c r="E13" s="1" t="s">
        <v>18</v>
      </c>
      <c r="F13" s="1">
        <v>7</v>
      </c>
      <c r="G13" s="6">
        <v>194</v>
      </c>
    </row>
    <row r="14" spans="1:7" x14ac:dyDescent="0.35">
      <c r="A14" s="5" t="s">
        <v>33</v>
      </c>
      <c r="B14" s="2">
        <v>45711</v>
      </c>
      <c r="C14" s="1" t="s">
        <v>8</v>
      </c>
      <c r="D14" s="1" t="s">
        <v>23</v>
      </c>
      <c r="E14" s="1" t="s">
        <v>10</v>
      </c>
      <c r="F14" s="1">
        <v>4</v>
      </c>
      <c r="G14" s="6">
        <v>503</v>
      </c>
    </row>
    <row r="15" spans="1:7" x14ac:dyDescent="0.35">
      <c r="A15" s="5" t="s">
        <v>34</v>
      </c>
      <c r="B15" s="2">
        <v>45691</v>
      </c>
      <c r="C15" s="1" t="s">
        <v>12</v>
      </c>
      <c r="D15" s="1" t="s">
        <v>17</v>
      </c>
      <c r="E15" s="1" t="s">
        <v>18</v>
      </c>
      <c r="F15" s="1">
        <v>2</v>
      </c>
      <c r="G15" s="6">
        <v>21</v>
      </c>
    </row>
    <row r="16" spans="1:7" x14ac:dyDescent="0.35">
      <c r="A16" s="5" t="s">
        <v>35</v>
      </c>
      <c r="B16" s="2">
        <v>45693</v>
      </c>
      <c r="C16" s="1" t="s">
        <v>29</v>
      </c>
      <c r="D16" s="1" t="s">
        <v>17</v>
      </c>
      <c r="E16" s="1" t="s">
        <v>18</v>
      </c>
      <c r="F16" s="1">
        <v>6</v>
      </c>
      <c r="G16" s="6">
        <v>511</v>
      </c>
    </row>
    <row r="17" spans="1:7" x14ac:dyDescent="0.35">
      <c r="A17" s="5" t="s">
        <v>36</v>
      </c>
      <c r="B17" s="2">
        <v>45714</v>
      </c>
      <c r="C17" s="1" t="s">
        <v>8</v>
      </c>
      <c r="D17" s="1" t="s">
        <v>23</v>
      </c>
      <c r="E17" s="1" t="s">
        <v>10</v>
      </c>
      <c r="F17" s="1">
        <v>6</v>
      </c>
      <c r="G17" s="6">
        <v>235</v>
      </c>
    </row>
    <row r="18" spans="1:7" x14ac:dyDescent="0.35">
      <c r="A18" s="5" t="s">
        <v>37</v>
      </c>
      <c r="B18" s="2">
        <v>45689</v>
      </c>
      <c r="C18" s="1" t="s">
        <v>12</v>
      </c>
      <c r="D18" s="1" t="s">
        <v>9</v>
      </c>
      <c r="E18" s="1" t="s">
        <v>10</v>
      </c>
      <c r="F18" s="1">
        <v>6</v>
      </c>
      <c r="G18" s="6">
        <v>646</v>
      </c>
    </row>
    <row r="19" spans="1:7" x14ac:dyDescent="0.35">
      <c r="A19" s="5" t="s">
        <v>38</v>
      </c>
      <c r="B19" s="2">
        <v>45679</v>
      </c>
      <c r="C19" s="1" t="s">
        <v>29</v>
      </c>
      <c r="D19" s="1" t="s">
        <v>17</v>
      </c>
      <c r="E19" s="1" t="s">
        <v>18</v>
      </c>
      <c r="F19" s="1">
        <v>1</v>
      </c>
      <c r="G19" s="6">
        <v>375</v>
      </c>
    </row>
    <row r="20" spans="1:7" x14ac:dyDescent="0.35">
      <c r="A20" s="5" t="s">
        <v>39</v>
      </c>
      <c r="B20" s="2">
        <v>45693</v>
      </c>
      <c r="C20" s="1" t="s">
        <v>25</v>
      </c>
      <c r="D20" s="1" t="s">
        <v>23</v>
      </c>
      <c r="E20" s="1" t="s">
        <v>10</v>
      </c>
      <c r="F20" s="1">
        <v>4</v>
      </c>
      <c r="G20" s="6">
        <v>474</v>
      </c>
    </row>
    <row r="21" spans="1:7" x14ac:dyDescent="0.35">
      <c r="A21" s="5" t="s">
        <v>40</v>
      </c>
      <c r="B21" s="2">
        <v>45699</v>
      </c>
      <c r="C21" s="1" t="s">
        <v>8</v>
      </c>
      <c r="D21" s="1" t="s">
        <v>9</v>
      </c>
      <c r="E21" s="1" t="s">
        <v>10</v>
      </c>
      <c r="F21" s="1">
        <v>5</v>
      </c>
      <c r="G21" s="6">
        <v>649</v>
      </c>
    </row>
    <row r="22" spans="1:7" x14ac:dyDescent="0.35">
      <c r="A22" s="5" t="s">
        <v>41</v>
      </c>
      <c r="B22" s="2">
        <v>45715</v>
      </c>
      <c r="C22" s="1" t="s">
        <v>8</v>
      </c>
      <c r="D22" s="1" t="s">
        <v>23</v>
      </c>
      <c r="E22" s="1" t="s">
        <v>10</v>
      </c>
      <c r="F22" s="1">
        <v>10</v>
      </c>
      <c r="G22" s="6">
        <v>710</v>
      </c>
    </row>
    <row r="23" spans="1:7" x14ac:dyDescent="0.35">
      <c r="A23" s="5" t="s">
        <v>42</v>
      </c>
      <c r="B23" s="2">
        <v>45676</v>
      </c>
      <c r="C23" s="1" t="s">
        <v>29</v>
      </c>
      <c r="D23" s="1" t="s">
        <v>13</v>
      </c>
      <c r="E23" s="1" t="s">
        <v>14</v>
      </c>
      <c r="F23" s="1">
        <v>7</v>
      </c>
      <c r="G23" s="6">
        <v>896</v>
      </c>
    </row>
    <row r="24" spans="1:7" x14ac:dyDescent="0.35">
      <c r="A24" s="5" t="s">
        <v>43</v>
      </c>
      <c r="B24" s="2">
        <v>45672</v>
      </c>
      <c r="C24" s="1" t="s">
        <v>29</v>
      </c>
      <c r="D24" s="1" t="s">
        <v>13</v>
      </c>
      <c r="E24" s="1" t="s">
        <v>14</v>
      </c>
      <c r="F24" s="1">
        <v>1</v>
      </c>
      <c r="G24" s="6">
        <v>899</v>
      </c>
    </row>
    <row r="25" spans="1:7" x14ac:dyDescent="0.35">
      <c r="A25" s="5" t="s">
        <v>44</v>
      </c>
      <c r="B25" s="2">
        <v>45680</v>
      </c>
      <c r="C25" s="1" t="s">
        <v>29</v>
      </c>
      <c r="D25" s="1" t="s">
        <v>30</v>
      </c>
      <c r="E25" s="1" t="s">
        <v>18</v>
      </c>
      <c r="F25" s="1">
        <v>8</v>
      </c>
      <c r="G25" s="6">
        <v>457</v>
      </c>
    </row>
    <row r="26" spans="1:7" x14ac:dyDescent="0.35">
      <c r="A26" s="5" t="s">
        <v>45</v>
      </c>
      <c r="B26" s="2">
        <v>45680</v>
      </c>
      <c r="C26" s="1" t="s">
        <v>29</v>
      </c>
      <c r="D26" s="1" t="s">
        <v>13</v>
      </c>
      <c r="E26" s="1" t="s">
        <v>14</v>
      </c>
      <c r="F26" s="1">
        <v>9</v>
      </c>
      <c r="G26" s="6">
        <v>587</v>
      </c>
    </row>
    <row r="27" spans="1:7" x14ac:dyDescent="0.35">
      <c r="A27" s="5" t="s">
        <v>46</v>
      </c>
      <c r="B27" s="2">
        <v>45683</v>
      </c>
      <c r="C27" s="1" t="s">
        <v>12</v>
      </c>
      <c r="D27" s="1" t="s">
        <v>13</v>
      </c>
      <c r="E27" s="1" t="s">
        <v>14</v>
      </c>
      <c r="F27" s="1">
        <v>4</v>
      </c>
      <c r="G27" s="6">
        <v>420</v>
      </c>
    </row>
    <row r="28" spans="1:7" x14ac:dyDescent="0.35">
      <c r="A28" s="5" t="s">
        <v>47</v>
      </c>
      <c r="B28" s="2">
        <v>45706</v>
      </c>
      <c r="C28" s="1" t="s">
        <v>25</v>
      </c>
      <c r="D28" s="1" t="s">
        <v>9</v>
      </c>
      <c r="E28" s="1" t="s">
        <v>10</v>
      </c>
      <c r="F28" s="1">
        <v>4</v>
      </c>
      <c r="G28" s="6">
        <v>761</v>
      </c>
    </row>
    <row r="29" spans="1:7" x14ac:dyDescent="0.35">
      <c r="A29" s="5" t="s">
        <v>48</v>
      </c>
      <c r="B29" s="2">
        <v>45666</v>
      </c>
      <c r="C29" s="1" t="s">
        <v>25</v>
      </c>
      <c r="D29" s="1" t="s">
        <v>13</v>
      </c>
      <c r="E29" s="1" t="s">
        <v>14</v>
      </c>
      <c r="F29" s="1">
        <v>3</v>
      </c>
      <c r="G29" s="6">
        <v>18</v>
      </c>
    </row>
    <row r="30" spans="1:7" x14ac:dyDescent="0.35">
      <c r="A30" s="5" t="s">
        <v>49</v>
      </c>
      <c r="B30" s="2">
        <v>45709</v>
      </c>
      <c r="C30" s="1" t="s">
        <v>12</v>
      </c>
      <c r="D30" s="1" t="s">
        <v>27</v>
      </c>
      <c r="E30" s="1" t="s">
        <v>18</v>
      </c>
      <c r="F30" s="1">
        <v>3</v>
      </c>
      <c r="G30" s="6">
        <v>351</v>
      </c>
    </row>
    <row r="31" spans="1:7" x14ac:dyDescent="0.35">
      <c r="A31" s="5" t="s">
        <v>50</v>
      </c>
      <c r="B31" s="2">
        <v>45682</v>
      </c>
      <c r="C31" s="1" t="s">
        <v>25</v>
      </c>
      <c r="D31" s="1" t="s">
        <v>17</v>
      </c>
      <c r="E31" s="1" t="s">
        <v>18</v>
      </c>
      <c r="F31" s="1">
        <v>10</v>
      </c>
      <c r="G31" s="6">
        <v>131</v>
      </c>
    </row>
    <row r="32" spans="1:7" x14ac:dyDescent="0.35">
      <c r="A32" s="5" t="s">
        <v>51</v>
      </c>
      <c r="B32" s="2">
        <v>45717</v>
      </c>
      <c r="C32" s="1" t="s">
        <v>8</v>
      </c>
      <c r="D32" s="1" t="s">
        <v>23</v>
      </c>
      <c r="E32" s="1" t="s">
        <v>10</v>
      </c>
      <c r="F32" s="1">
        <v>4</v>
      </c>
      <c r="G32" s="6">
        <v>240</v>
      </c>
    </row>
    <row r="33" spans="1:7" x14ac:dyDescent="0.35">
      <c r="A33" s="5" t="s">
        <v>52</v>
      </c>
      <c r="B33" s="2">
        <v>45698</v>
      </c>
      <c r="C33" s="1" t="s">
        <v>8</v>
      </c>
      <c r="D33" s="1" t="s">
        <v>27</v>
      </c>
      <c r="E33" s="1" t="s">
        <v>18</v>
      </c>
      <c r="F33" s="1">
        <v>5</v>
      </c>
      <c r="G33" s="6">
        <v>298</v>
      </c>
    </row>
    <row r="34" spans="1:7" x14ac:dyDescent="0.35">
      <c r="A34" s="5" t="s">
        <v>53</v>
      </c>
      <c r="B34" s="2">
        <v>45717</v>
      </c>
      <c r="C34" s="1" t="s">
        <v>8</v>
      </c>
      <c r="D34" s="1" t="s">
        <v>23</v>
      </c>
      <c r="E34" s="1" t="s">
        <v>10</v>
      </c>
      <c r="F34" s="1">
        <v>5</v>
      </c>
      <c r="G34" s="6">
        <v>575</v>
      </c>
    </row>
    <row r="35" spans="1:7" x14ac:dyDescent="0.35">
      <c r="A35" s="5" t="s">
        <v>54</v>
      </c>
      <c r="B35" s="2">
        <v>45715</v>
      </c>
      <c r="C35" s="1" t="s">
        <v>25</v>
      </c>
      <c r="D35" s="1" t="s">
        <v>30</v>
      </c>
      <c r="E35" s="1" t="s">
        <v>18</v>
      </c>
      <c r="F35" s="1">
        <v>10</v>
      </c>
      <c r="G35" s="6">
        <v>253</v>
      </c>
    </row>
    <row r="36" spans="1:7" x14ac:dyDescent="0.35">
      <c r="A36" s="5" t="s">
        <v>55</v>
      </c>
      <c r="B36" s="2">
        <v>45717</v>
      </c>
      <c r="C36" s="1" t="s">
        <v>29</v>
      </c>
      <c r="D36" s="1" t="s">
        <v>13</v>
      </c>
      <c r="E36" s="1" t="s">
        <v>14</v>
      </c>
      <c r="F36" s="1">
        <v>7</v>
      </c>
      <c r="G36" s="6">
        <v>636</v>
      </c>
    </row>
    <row r="37" spans="1:7" x14ac:dyDescent="0.35">
      <c r="A37" s="5" t="s">
        <v>56</v>
      </c>
      <c r="B37" s="2">
        <v>45686</v>
      </c>
      <c r="C37" s="1" t="s">
        <v>29</v>
      </c>
      <c r="D37" s="1" t="s">
        <v>27</v>
      </c>
      <c r="E37" s="1" t="s">
        <v>18</v>
      </c>
      <c r="F37" s="1">
        <v>9</v>
      </c>
      <c r="G37" s="6">
        <v>127</v>
      </c>
    </row>
    <row r="38" spans="1:7" x14ac:dyDescent="0.35">
      <c r="A38" s="5" t="s">
        <v>57</v>
      </c>
      <c r="B38" s="2">
        <v>45689</v>
      </c>
      <c r="C38" s="1" t="s">
        <v>12</v>
      </c>
      <c r="D38" s="1" t="s">
        <v>27</v>
      </c>
      <c r="E38" s="1" t="s">
        <v>18</v>
      </c>
      <c r="F38" s="1">
        <v>1</v>
      </c>
      <c r="G38" s="6">
        <v>120</v>
      </c>
    </row>
    <row r="39" spans="1:7" x14ac:dyDescent="0.35">
      <c r="A39" s="5" t="s">
        <v>58</v>
      </c>
      <c r="B39" s="2">
        <v>45691</v>
      </c>
      <c r="C39" s="1" t="s">
        <v>25</v>
      </c>
      <c r="D39" s="1" t="s">
        <v>13</v>
      </c>
      <c r="E39" s="1" t="s">
        <v>14</v>
      </c>
      <c r="F39" s="1">
        <v>9</v>
      </c>
      <c r="G39" s="6">
        <v>241</v>
      </c>
    </row>
    <row r="40" spans="1:7" x14ac:dyDescent="0.35">
      <c r="A40" s="5" t="s">
        <v>59</v>
      </c>
      <c r="B40" s="2">
        <v>45662</v>
      </c>
      <c r="C40" s="1" t="s">
        <v>29</v>
      </c>
      <c r="D40" s="1" t="s">
        <v>23</v>
      </c>
      <c r="E40" s="1" t="s">
        <v>10</v>
      </c>
      <c r="F40" s="1">
        <v>1</v>
      </c>
      <c r="G40" s="6">
        <v>284</v>
      </c>
    </row>
    <row r="41" spans="1:7" x14ac:dyDescent="0.35">
      <c r="A41" s="5" t="s">
        <v>60</v>
      </c>
      <c r="B41" s="2">
        <v>45710</v>
      </c>
      <c r="C41" s="1" t="s">
        <v>29</v>
      </c>
      <c r="D41" s="1" t="s">
        <v>9</v>
      </c>
      <c r="E41" s="1" t="s">
        <v>10</v>
      </c>
      <c r="F41" s="1">
        <v>5</v>
      </c>
      <c r="G41" s="6">
        <v>694</v>
      </c>
    </row>
    <row r="42" spans="1:7" x14ac:dyDescent="0.35">
      <c r="A42" s="5" t="s">
        <v>61</v>
      </c>
      <c r="B42" s="2">
        <v>45709</v>
      </c>
      <c r="C42" s="1" t="s">
        <v>12</v>
      </c>
      <c r="D42" s="1" t="s">
        <v>32</v>
      </c>
      <c r="E42" s="1" t="s">
        <v>18</v>
      </c>
      <c r="F42" s="1">
        <v>10</v>
      </c>
      <c r="G42" s="6">
        <v>216</v>
      </c>
    </row>
    <row r="43" spans="1:7" x14ac:dyDescent="0.35">
      <c r="A43" s="5" t="s">
        <v>62</v>
      </c>
      <c r="B43" s="2">
        <v>45710</v>
      </c>
      <c r="C43" s="1" t="s">
        <v>25</v>
      </c>
      <c r="D43" s="1" t="s">
        <v>9</v>
      </c>
      <c r="E43" s="1" t="s">
        <v>10</v>
      </c>
      <c r="F43" s="1">
        <v>10</v>
      </c>
      <c r="G43" s="6">
        <v>806</v>
      </c>
    </row>
    <row r="44" spans="1:7" x14ac:dyDescent="0.35">
      <c r="A44" s="5" t="s">
        <v>63</v>
      </c>
      <c r="B44" s="2">
        <v>45669</v>
      </c>
      <c r="C44" s="1" t="s">
        <v>25</v>
      </c>
      <c r="D44" s="1" t="s">
        <v>27</v>
      </c>
      <c r="E44" s="1" t="s">
        <v>18</v>
      </c>
      <c r="F44" s="1">
        <v>3</v>
      </c>
      <c r="G44" s="6">
        <v>336</v>
      </c>
    </row>
    <row r="45" spans="1:7" x14ac:dyDescent="0.35">
      <c r="A45" s="5" t="s">
        <v>64</v>
      </c>
      <c r="B45" s="2">
        <v>45678</v>
      </c>
      <c r="C45" s="1" t="s">
        <v>29</v>
      </c>
      <c r="D45" s="1" t="s">
        <v>17</v>
      </c>
      <c r="E45" s="1" t="s">
        <v>18</v>
      </c>
      <c r="F45" s="1">
        <v>7</v>
      </c>
      <c r="G45" s="6">
        <v>269</v>
      </c>
    </row>
    <row r="46" spans="1:7" x14ac:dyDescent="0.35">
      <c r="A46" s="5" t="s">
        <v>65</v>
      </c>
      <c r="B46" s="2">
        <v>45669</v>
      </c>
      <c r="C46" s="1" t="s">
        <v>25</v>
      </c>
      <c r="D46" s="1" t="s">
        <v>27</v>
      </c>
      <c r="E46" s="1" t="s">
        <v>18</v>
      </c>
      <c r="F46" s="1">
        <v>2</v>
      </c>
      <c r="G46" s="6">
        <v>784</v>
      </c>
    </row>
    <row r="47" spans="1:7" x14ac:dyDescent="0.35">
      <c r="A47" s="5" t="s">
        <v>66</v>
      </c>
      <c r="B47" s="2">
        <v>45668</v>
      </c>
      <c r="C47" s="1" t="s">
        <v>8</v>
      </c>
      <c r="D47" s="1" t="s">
        <v>17</v>
      </c>
      <c r="E47" s="1" t="s">
        <v>18</v>
      </c>
      <c r="F47" s="1">
        <v>5</v>
      </c>
      <c r="G47" s="6">
        <v>282</v>
      </c>
    </row>
    <row r="48" spans="1:7" x14ac:dyDescent="0.35">
      <c r="A48" s="5" t="s">
        <v>67</v>
      </c>
      <c r="B48" s="2">
        <v>45707</v>
      </c>
      <c r="C48" s="1" t="s">
        <v>8</v>
      </c>
      <c r="D48" s="1" t="s">
        <v>23</v>
      </c>
      <c r="E48" s="1" t="s">
        <v>10</v>
      </c>
      <c r="F48" s="1">
        <v>8</v>
      </c>
      <c r="G48" s="6">
        <v>125</v>
      </c>
    </row>
    <row r="49" spans="1:7" x14ac:dyDescent="0.35">
      <c r="A49" s="5" t="s">
        <v>68</v>
      </c>
      <c r="B49" s="2">
        <v>45665</v>
      </c>
      <c r="C49" s="1" t="s">
        <v>29</v>
      </c>
      <c r="D49" s="1" t="s">
        <v>17</v>
      </c>
      <c r="E49" s="1" t="s">
        <v>18</v>
      </c>
      <c r="F49" s="1">
        <v>10</v>
      </c>
      <c r="G49" s="6">
        <v>150</v>
      </c>
    </row>
    <row r="50" spans="1:7" x14ac:dyDescent="0.35">
      <c r="A50" s="5" t="s">
        <v>69</v>
      </c>
      <c r="B50" s="2">
        <v>45718</v>
      </c>
      <c r="C50" s="1" t="s">
        <v>25</v>
      </c>
      <c r="D50" s="1" t="s">
        <v>17</v>
      </c>
      <c r="E50" s="1" t="s">
        <v>18</v>
      </c>
      <c r="F50" s="1">
        <v>1</v>
      </c>
      <c r="G50" s="6">
        <v>428</v>
      </c>
    </row>
    <row r="51" spans="1:7" x14ac:dyDescent="0.35">
      <c r="A51" s="5" t="s">
        <v>70</v>
      </c>
      <c r="B51" s="2">
        <v>45693</v>
      </c>
      <c r="C51" s="1" t="s">
        <v>8</v>
      </c>
      <c r="D51" s="1" t="s">
        <v>17</v>
      </c>
      <c r="E51" s="1" t="s">
        <v>18</v>
      </c>
      <c r="F51" s="1">
        <v>9</v>
      </c>
      <c r="G51" s="6">
        <v>182</v>
      </c>
    </row>
    <row r="52" spans="1:7" x14ac:dyDescent="0.35">
      <c r="A52" s="5" t="s">
        <v>71</v>
      </c>
      <c r="B52" s="2">
        <v>45694</v>
      </c>
      <c r="C52" s="1" t="s">
        <v>8</v>
      </c>
      <c r="D52" s="1" t="s">
        <v>9</v>
      </c>
      <c r="E52" s="1" t="s">
        <v>10</v>
      </c>
      <c r="F52" s="1">
        <v>8</v>
      </c>
      <c r="G52" s="6">
        <v>878</v>
      </c>
    </row>
    <row r="53" spans="1:7" x14ac:dyDescent="0.35">
      <c r="A53" s="5" t="s">
        <v>72</v>
      </c>
      <c r="B53" s="2">
        <v>45704</v>
      </c>
      <c r="C53" s="1" t="s">
        <v>29</v>
      </c>
      <c r="D53" s="1" t="s">
        <v>30</v>
      </c>
      <c r="E53" s="1" t="s">
        <v>18</v>
      </c>
      <c r="F53" s="1">
        <v>4</v>
      </c>
      <c r="G53" s="6">
        <v>31</v>
      </c>
    </row>
    <row r="54" spans="1:7" x14ac:dyDescent="0.35">
      <c r="A54" s="5" t="s">
        <v>73</v>
      </c>
      <c r="B54" s="2">
        <v>45665</v>
      </c>
      <c r="C54" s="1" t="s">
        <v>8</v>
      </c>
      <c r="D54" s="1" t="s">
        <v>27</v>
      </c>
      <c r="E54" s="1" t="s">
        <v>18</v>
      </c>
      <c r="F54" s="1">
        <v>9</v>
      </c>
      <c r="G54" s="6">
        <v>159</v>
      </c>
    </row>
    <row r="55" spans="1:7" x14ac:dyDescent="0.35">
      <c r="A55" s="5" t="s">
        <v>74</v>
      </c>
      <c r="B55" s="2">
        <v>45660</v>
      </c>
      <c r="C55" s="1" t="s">
        <v>25</v>
      </c>
      <c r="D55" s="1" t="s">
        <v>17</v>
      </c>
      <c r="E55" s="1" t="s">
        <v>18</v>
      </c>
      <c r="F55" s="1">
        <v>10</v>
      </c>
      <c r="G55" s="6">
        <v>259</v>
      </c>
    </row>
    <row r="56" spans="1:7" x14ac:dyDescent="0.35">
      <c r="A56" s="5" t="s">
        <v>75</v>
      </c>
      <c r="B56" s="2">
        <v>45694</v>
      </c>
      <c r="C56" s="1" t="s">
        <v>8</v>
      </c>
      <c r="D56" s="1" t="s">
        <v>23</v>
      </c>
      <c r="E56" s="1" t="s">
        <v>10</v>
      </c>
      <c r="F56" s="1">
        <v>3</v>
      </c>
      <c r="G56" s="6">
        <v>427</v>
      </c>
    </row>
    <row r="57" spans="1:7" x14ac:dyDescent="0.35">
      <c r="A57" s="5" t="s">
        <v>76</v>
      </c>
      <c r="B57" s="2">
        <v>45692</v>
      </c>
      <c r="C57" s="1" t="s">
        <v>8</v>
      </c>
      <c r="D57" s="1" t="s">
        <v>27</v>
      </c>
      <c r="E57" s="1" t="s">
        <v>18</v>
      </c>
      <c r="F57" s="1">
        <v>8</v>
      </c>
      <c r="G57" s="6">
        <v>105</v>
      </c>
    </row>
    <row r="58" spans="1:7" x14ac:dyDescent="0.35">
      <c r="A58" s="5" t="s">
        <v>77</v>
      </c>
      <c r="B58" s="2">
        <v>45667</v>
      </c>
      <c r="C58" s="1" t="s">
        <v>25</v>
      </c>
      <c r="D58" s="1" t="s">
        <v>17</v>
      </c>
      <c r="E58" s="1" t="s">
        <v>18</v>
      </c>
      <c r="F58" s="1">
        <v>8</v>
      </c>
      <c r="G58" s="6">
        <v>276</v>
      </c>
    </row>
    <row r="59" spans="1:7" x14ac:dyDescent="0.35">
      <c r="A59" s="5" t="s">
        <v>78</v>
      </c>
      <c r="B59" s="2">
        <v>45715</v>
      </c>
      <c r="C59" s="1" t="s">
        <v>29</v>
      </c>
      <c r="D59" s="1" t="s">
        <v>23</v>
      </c>
      <c r="E59" s="1" t="s">
        <v>10</v>
      </c>
      <c r="F59" s="1">
        <v>1</v>
      </c>
      <c r="G59" s="6">
        <v>76</v>
      </c>
    </row>
    <row r="60" spans="1:7" x14ac:dyDescent="0.35">
      <c r="A60" s="5" t="s">
        <v>79</v>
      </c>
      <c r="B60" s="2">
        <v>45690</v>
      </c>
      <c r="C60" s="1" t="s">
        <v>8</v>
      </c>
      <c r="D60" s="1" t="s">
        <v>27</v>
      </c>
      <c r="E60" s="1" t="s">
        <v>18</v>
      </c>
      <c r="F60" s="1">
        <v>9</v>
      </c>
      <c r="G60" s="6">
        <v>49</v>
      </c>
    </row>
    <row r="61" spans="1:7" x14ac:dyDescent="0.35">
      <c r="A61" s="5" t="s">
        <v>80</v>
      </c>
      <c r="B61" s="2">
        <v>45688</v>
      </c>
      <c r="C61" s="1" t="s">
        <v>25</v>
      </c>
      <c r="D61" s="1" t="s">
        <v>23</v>
      </c>
      <c r="E61" s="1" t="s">
        <v>10</v>
      </c>
      <c r="F61" s="1">
        <v>2</v>
      </c>
      <c r="G61" s="6">
        <v>823</v>
      </c>
    </row>
    <row r="62" spans="1:7" x14ac:dyDescent="0.35">
      <c r="A62" s="5" t="s">
        <v>81</v>
      </c>
      <c r="B62" s="2">
        <v>45705</v>
      </c>
      <c r="C62" s="1" t="s">
        <v>12</v>
      </c>
      <c r="D62" s="1" t="s">
        <v>32</v>
      </c>
      <c r="E62" s="1" t="s">
        <v>18</v>
      </c>
      <c r="F62" s="1">
        <v>5</v>
      </c>
      <c r="G62" s="6">
        <v>149</v>
      </c>
    </row>
    <row r="63" spans="1:7" x14ac:dyDescent="0.35">
      <c r="A63" s="5" t="s">
        <v>82</v>
      </c>
      <c r="B63" s="2">
        <v>45663</v>
      </c>
      <c r="C63" s="1" t="s">
        <v>12</v>
      </c>
      <c r="D63" s="1" t="s">
        <v>13</v>
      </c>
      <c r="E63" s="1" t="s">
        <v>14</v>
      </c>
      <c r="F63" s="1">
        <v>7</v>
      </c>
      <c r="G63" s="6">
        <v>790</v>
      </c>
    </row>
    <row r="64" spans="1:7" x14ac:dyDescent="0.35">
      <c r="A64" s="5" t="s">
        <v>83</v>
      </c>
      <c r="B64" s="2">
        <v>45704</v>
      </c>
      <c r="C64" s="1" t="s">
        <v>8</v>
      </c>
      <c r="D64" s="1" t="s">
        <v>27</v>
      </c>
      <c r="E64" s="1" t="s">
        <v>18</v>
      </c>
      <c r="F64" s="1">
        <v>8</v>
      </c>
      <c r="G64" s="6">
        <v>840</v>
      </c>
    </row>
    <row r="65" spans="1:7" x14ac:dyDescent="0.35">
      <c r="A65" s="5" t="s">
        <v>84</v>
      </c>
      <c r="B65" s="2">
        <v>45692</v>
      </c>
      <c r="C65" s="1" t="s">
        <v>12</v>
      </c>
      <c r="D65" s="1" t="s">
        <v>13</v>
      </c>
      <c r="E65" s="1" t="s">
        <v>14</v>
      </c>
      <c r="F65" s="1">
        <v>1</v>
      </c>
      <c r="G65" s="6">
        <v>382</v>
      </c>
    </row>
    <row r="66" spans="1:7" x14ac:dyDescent="0.35">
      <c r="A66" s="5" t="s">
        <v>85</v>
      </c>
      <c r="B66" s="2">
        <v>45713</v>
      </c>
      <c r="C66" s="1" t="s">
        <v>8</v>
      </c>
      <c r="D66" s="1" t="s">
        <v>13</v>
      </c>
      <c r="E66" s="1" t="s">
        <v>14</v>
      </c>
      <c r="F66" s="1">
        <v>2</v>
      </c>
      <c r="G66" s="6">
        <v>460</v>
      </c>
    </row>
    <row r="67" spans="1:7" x14ac:dyDescent="0.35">
      <c r="A67" s="5" t="s">
        <v>86</v>
      </c>
      <c r="B67" s="2">
        <v>45685</v>
      </c>
      <c r="C67" s="1" t="s">
        <v>25</v>
      </c>
      <c r="D67" s="1" t="s">
        <v>9</v>
      </c>
      <c r="E67" s="1" t="s">
        <v>10</v>
      </c>
      <c r="F67" s="1">
        <v>6</v>
      </c>
      <c r="G67" s="6">
        <v>38</v>
      </c>
    </row>
    <row r="68" spans="1:7" x14ac:dyDescent="0.35">
      <c r="A68" s="5" t="s">
        <v>87</v>
      </c>
      <c r="B68" s="2">
        <v>45701</v>
      </c>
      <c r="C68" s="1" t="s">
        <v>25</v>
      </c>
      <c r="D68" s="1" t="s">
        <v>27</v>
      </c>
      <c r="E68" s="1" t="s">
        <v>18</v>
      </c>
      <c r="F68" s="1">
        <v>3</v>
      </c>
      <c r="G68" s="6">
        <v>762</v>
      </c>
    </row>
    <row r="69" spans="1:7" x14ac:dyDescent="0.35">
      <c r="A69" s="5" t="s">
        <v>88</v>
      </c>
      <c r="B69" s="2">
        <v>45681</v>
      </c>
      <c r="C69" s="1" t="s">
        <v>25</v>
      </c>
      <c r="D69" s="1" t="s">
        <v>17</v>
      </c>
      <c r="E69" s="1" t="s">
        <v>18</v>
      </c>
      <c r="F69" s="1">
        <v>2</v>
      </c>
      <c r="G69" s="6">
        <v>96</v>
      </c>
    </row>
    <row r="70" spans="1:7" x14ac:dyDescent="0.35">
      <c r="A70" s="5" t="s">
        <v>89</v>
      </c>
      <c r="B70" s="2">
        <v>45677</v>
      </c>
      <c r="C70" s="1" t="s">
        <v>25</v>
      </c>
      <c r="D70" s="1" t="s">
        <v>32</v>
      </c>
      <c r="E70" s="1" t="s">
        <v>18</v>
      </c>
      <c r="F70" s="1">
        <v>1</v>
      </c>
      <c r="G70" s="6">
        <v>685</v>
      </c>
    </row>
    <row r="71" spans="1:7" x14ac:dyDescent="0.35">
      <c r="A71" s="5" t="s">
        <v>90</v>
      </c>
      <c r="B71" s="2">
        <v>45714</v>
      </c>
      <c r="C71" s="1" t="s">
        <v>25</v>
      </c>
      <c r="D71" s="1" t="s">
        <v>32</v>
      </c>
      <c r="E71" s="1" t="s">
        <v>18</v>
      </c>
      <c r="F71" s="1">
        <v>1</v>
      </c>
      <c r="G71" s="6">
        <v>44</v>
      </c>
    </row>
    <row r="72" spans="1:7" x14ac:dyDescent="0.35">
      <c r="A72" s="5" t="s">
        <v>91</v>
      </c>
      <c r="B72" s="2">
        <v>45670</v>
      </c>
      <c r="C72" s="1" t="s">
        <v>12</v>
      </c>
      <c r="D72" s="1" t="s">
        <v>13</v>
      </c>
      <c r="E72" s="1" t="s">
        <v>14</v>
      </c>
      <c r="F72" s="1">
        <v>2</v>
      </c>
      <c r="G72" s="6">
        <v>295</v>
      </c>
    </row>
    <row r="73" spans="1:7" x14ac:dyDescent="0.35">
      <c r="A73" s="5" t="s">
        <v>92</v>
      </c>
      <c r="B73" s="2">
        <v>45704</v>
      </c>
      <c r="C73" s="1" t="s">
        <v>29</v>
      </c>
      <c r="D73" s="1" t="s">
        <v>23</v>
      </c>
      <c r="E73" s="1" t="s">
        <v>10</v>
      </c>
      <c r="F73" s="1">
        <v>8</v>
      </c>
      <c r="G73" s="6">
        <v>292</v>
      </c>
    </row>
    <row r="74" spans="1:7" x14ac:dyDescent="0.35">
      <c r="A74" s="5" t="s">
        <v>93</v>
      </c>
      <c r="B74" s="2">
        <v>45702</v>
      </c>
      <c r="C74" s="1" t="s">
        <v>12</v>
      </c>
      <c r="D74" s="1" t="s">
        <v>17</v>
      </c>
      <c r="E74" s="1" t="s">
        <v>18</v>
      </c>
      <c r="F74" s="1">
        <v>3</v>
      </c>
      <c r="G74" s="6">
        <v>70</v>
      </c>
    </row>
    <row r="75" spans="1:7" x14ac:dyDescent="0.35">
      <c r="A75" s="5" t="s">
        <v>94</v>
      </c>
      <c r="B75" s="2">
        <v>45661</v>
      </c>
      <c r="C75" s="1" t="s">
        <v>25</v>
      </c>
      <c r="D75" s="1" t="s">
        <v>9</v>
      </c>
      <c r="E75" s="1" t="s">
        <v>10</v>
      </c>
      <c r="F75" s="1">
        <v>5</v>
      </c>
      <c r="G75" s="6">
        <v>656</v>
      </c>
    </row>
    <row r="76" spans="1:7" x14ac:dyDescent="0.35">
      <c r="A76" s="5" t="s">
        <v>95</v>
      </c>
      <c r="B76" s="2">
        <v>45659</v>
      </c>
      <c r="C76" s="1" t="s">
        <v>25</v>
      </c>
      <c r="D76" s="1" t="s">
        <v>30</v>
      </c>
      <c r="E76" s="1" t="s">
        <v>18</v>
      </c>
      <c r="F76" s="1">
        <v>3</v>
      </c>
      <c r="G76" s="6">
        <v>452</v>
      </c>
    </row>
    <row r="77" spans="1:7" x14ac:dyDescent="0.35">
      <c r="A77" s="5" t="s">
        <v>96</v>
      </c>
      <c r="B77" s="2">
        <v>45671</v>
      </c>
      <c r="C77" s="1" t="s">
        <v>12</v>
      </c>
      <c r="D77" s="1" t="s">
        <v>17</v>
      </c>
      <c r="E77" s="1" t="s">
        <v>18</v>
      </c>
      <c r="F77" s="1">
        <v>5</v>
      </c>
      <c r="G77" s="6">
        <v>391</v>
      </c>
    </row>
    <row r="78" spans="1:7" x14ac:dyDescent="0.35">
      <c r="A78" s="5" t="s">
        <v>97</v>
      </c>
      <c r="B78" s="2">
        <v>45704</v>
      </c>
      <c r="C78" s="1" t="s">
        <v>12</v>
      </c>
      <c r="D78" s="1" t="s">
        <v>17</v>
      </c>
      <c r="E78" s="1" t="s">
        <v>18</v>
      </c>
      <c r="F78" s="1">
        <v>2</v>
      </c>
      <c r="G78" s="6">
        <v>290</v>
      </c>
    </row>
    <row r="79" spans="1:7" x14ac:dyDescent="0.35">
      <c r="A79" s="5" t="s">
        <v>98</v>
      </c>
      <c r="B79" s="2">
        <v>45667</v>
      </c>
      <c r="C79" s="1" t="s">
        <v>8</v>
      </c>
      <c r="D79" s="1" t="s">
        <v>9</v>
      </c>
      <c r="E79" s="1" t="s">
        <v>10</v>
      </c>
      <c r="F79" s="1">
        <v>6</v>
      </c>
      <c r="G79" s="6">
        <v>855</v>
      </c>
    </row>
    <row r="80" spans="1:7" x14ac:dyDescent="0.35">
      <c r="A80" s="5" t="s">
        <v>99</v>
      </c>
      <c r="B80" s="2">
        <v>45658</v>
      </c>
      <c r="C80" s="1" t="s">
        <v>8</v>
      </c>
      <c r="D80" s="1" t="s">
        <v>27</v>
      </c>
      <c r="E80" s="1" t="s">
        <v>18</v>
      </c>
      <c r="F80" s="1">
        <v>4</v>
      </c>
      <c r="G80" s="6">
        <v>295</v>
      </c>
    </row>
    <row r="81" spans="1:7" x14ac:dyDescent="0.35">
      <c r="A81" s="5" t="s">
        <v>100</v>
      </c>
      <c r="B81" s="2">
        <v>45715</v>
      </c>
      <c r="C81" s="1" t="s">
        <v>29</v>
      </c>
      <c r="D81" s="1" t="s">
        <v>30</v>
      </c>
      <c r="E81" s="1" t="s">
        <v>18</v>
      </c>
      <c r="F81" s="1">
        <v>4</v>
      </c>
      <c r="G81" s="6">
        <v>824</v>
      </c>
    </row>
    <row r="82" spans="1:7" x14ac:dyDescent="0.35">
      <c r="A82" s="5" t="s">
        <v>101</v>
      </c>
      <c r="B82" s="2">
        <v>45683</v>
      </c>
      <c r="C82" s="1" t="s">
        <v>25</v>
      </c>
      <c r="D82" s="1" t="s">
        <v>17</v>
      </c>
      <c r="E82" s="1" t="s">
        <v>18</v>
      </c>
      <c r="F82" s="1">
        <v>1</v>
      </c>
      <c r="G82" s="6">
        <v>715</v>
      </c>
    </row>
    <row r="83" spans="1:7" x14ac:dyDescent="0.35">
      <c r="A83" s="5" t="s">
        <v>102</v>
      </c>
      <c r="B83" s="2">
        <v>45680</v>
      </c>
      <c r="C83" s="1" t="s">
        <v>8</v>
      </c>
      <c r="D83" s="1" t="s">
        <v>27</v>
      </c>
      <c r="E83" s="1" t="s">
        <v>18</v>
      </c>
      <c r="F83" s="1">
        <v>5</v>
      </c>
      <c r="G83" s="6">
        <v>380</v>
      </c>
    </row>
    <row r="84" spans="1:7" x14ac:dyDescent="0.35">
      <c r="A84" s="5" t="s">
        <v>103</v>
      </c>
      <c r="B84" s="2">
        <v>45673</v>
      </c>
      <c r="C84" s="1" t="s">
        <v>12</v>
      </c>
      <c r="D84" s="1" t="s">
        <v>32</v>
      </c>
      <c r="E84" s="1" t="s">
        <v>18</v>
      </c>
      <c r="F84" s="1">
        <v>9</v>
      </c>
      <c r="G84" s="6">
        <v>209</v>
      </c>
    </row>
    <row r="85" spans="1:7" x14ac:dyDescent="0.35">
      <c r="A85" s="5" t="s">
        <v>104</v>
      </c>
      <c r="B85" s="2">
        <v>45680</v>
      </c>
      <c r="C85" s="1" t="s">
        <v>8</v>
      </c>
      <c r="D85" s="1" t="s">
        <v>17</v>
      </c>
      <c r="E85" s="1" t="s">
        <v>18</v>
      </c>
      <c r="F85" s="1">
        <v>10</v>
      </c>
      <c r="G85" s="6">
        <v>724</v>
      </c>
    </row>
    <row r="86" spans="1:7" x14ac:dyDescent="0.35">
      <c r="A86" s="5" t="s">
        <v>105</v>
      </c>
      <c r="B86" s="2">
        <v>45669</v>
      </c>
      <c r="C86" s="1" t="s">
        <v>12</v>
      </c>
      <c r="D86" s="1" t="s">
        <v>30</v>
      </c>
      <c r="E86" s="1" t="s">
        <v>18</v>
      </c>
      <c r="F86" s="1">
        <v>6</v>
      </c>
      <c r="G86" s="6">
        <v>780</v>
      </c>
    </row>
    <row r="87" spans="1:7" x14ac:dyDescent="0.35">
      <c r="A87" s="5" t="s">
        <v>106</v>
      </c>
      <c r="B87" s="2">
        <v>45713</v>
      </c>
      <c r="C87" s="1" t="s">
        <v>12</v>
      </c>
      <c r="D87" s="1" t="s">
        <v>9</v>
      </c>
      <c r="E87" s="1" t="s">
        <v>10</v>
      </c>
      <c r="F87" s="1">
        <v>6</v>
      </c>
      <c r="G87" s="6">
        <v>239</v>
      </c>
    </row>
    <row r="88" spans="1:7" x14ac:dyDescent="0.35">
      <c r="A88" s="5" t="s">
        <v>107</v>
      </c>
      <c r="B88" s="2">
        <v>45682</v>
      </c>
      <c r="C88" s="1" t="s">
        <v>8</v>
      </c>
      <c r="D88" s="1" t="s">
        <v>27</v>
      </c>
      <c r="E88" s="1" t="s">
        <v>18</v>
      </c>
      <c r="F88" s="1">
        <v>9</v>
      </c>
      <c r="G88" s="6">
        <v>297</v>
      </c>
    </row>
    <row r="89" spans="1:7" x14ac:dyDescent="0.35">
      <c r="A89" s="5" t="s">
        <v>108</v>
      </c>
      <c r="B89" s="2">
        <v>45665</v>
      </c>
      <c r="C89" s="1" t="s">
        <v>12</v>
      </c>
      <c r="D89" s="1" t="s">
        <v>32</v>
      </c>
      <c r="E89" s="1" t="s">
        <v>18</v>
      </c>
      <c r="F89" s="1">
        <v>7</v>
      </c>
      <c r="G89" s="6">
        <v>473</v>
      </c>
    </row>
    <row r="90" spans="1:7" x14ac:dyDescent="0.35">
      <c r="A90" s="5" t="s">
        <v>109</v>
      </c>
      <c r="B90" s="2">
        <v>45702</v>
      </c>
      <c r="C90" s="1" t="s">
        <v>25</v>
      </c>
      <c r="D90" s="1" t="s">
        <v>30</v>
      </c>
      <c r="E90" s="1" t="s">
        <v>18</v>
      </c>
      <c r="F90" s="1">
        <v>8</v>
      </c>
      <c r="G90" s="6">
        <v>899</v>
      </c>
    </row>
    <row r="91" spans="1:7" x14ac:dyDescent="0.35">
      <c r="A91" s="5" t="s">
        <v>110</v>
      </c>
      <c r="B91" s="2">
        <v>45661</v>
      </c>
      <c r="C91" s="1" t="s">
        <v>29</v>
      </c>
      <c r="D91" s="1" t="s">
        <v>30</v>
      </c>
      <c r="E91" s="1" t="s">
        <v>18</v>
      </c>
      <c r="F91" s="1">
        <v>7</v>
      </c>
      <c r="G91" s="6">
        <v>71</v>
      </c>
    </row>
    <row r="92" spans="1:7" x14ac:dyDescent="0.35">
      <c r="A92" s="5" t="s">
        <v>111</v>
      </c>
      <c r="B92" s="2">
        <v>45714</v>
      </c>
      <c r="C92" s="1" t="s">
        <v>29</v>
      </c>
      <c r="D92" s="1" t="s">
        <v>32</v>
      </c>
      <c r="E92" s="1" t="s">
        <v>18</v>
      </c>
      <c r="F92" s="1">
        <v>1</v>
      </c>
      <c r="G92" s="6">
        <v>684</v>
      </c>
    </row>
    <row r="93" spans="1:7" x14ac:dyDescent="0.35">
      <c r="A93" s="5" t="s">
        <v>112</v>
      </c>
      <c r="B93" s="2">
        <v>45658</v>
      </c>
      <c r="C93" s="1" t="s">
        <v>12</v>
      </c>
      <c r="D93" s="1" t="s">
        <v>13</v>
      </c>
      <c r="E93" s="1" t="s">
        <v>14</v>
      </c>
      <c r="F93" s="1">
        <v>6</v>
      </c>
      <c r="G93" s="6">
        <v>284</v>
      </c>
    </row>
    <row r="94" spans="1:7" x14ac:dyDescent="0.35">
      <c r="A94" s="5" t="s">
        <v>113</v>
      </c>
      <c r="B94" s="2">
        <v>45693</v>
      </c>
      <c r="C94" s="1" t="s">
        <v>25</v>
      </c>
      <c r="D94" s="1" t="s">
        <v>32</v>
      </c>
      <c r="E94" s="1" t="s">
        <v>18</v>
      </c>
      <c r="F94" s="1">
        <v>2</v>
      </c>
      <c r="G94" s="6">
        <v>814</v>
      </c>
    </row>
    <row r="95" spans="1:7" x14ac:dyDescent="0.35">
      <c r="A95" s="5" t="s">
        <v>114</v>
      </c>
      <c r="B95" s="2">
        <v>45714</v>
      </c>
      <c r="C95" s="1" t="s">
        <v>29</v>
      </c>
      <c r="D95" s="1" t="s">
        <v>30</v>
      </c>
      <c r="E95" s="1" t="s">
        <v>18</v>
      </c>
      <c r="F95" s="1">
        <v>3</v>
      </c>
      <c r="G95" s="6">
        <v>750</v>
      </c>
    </row>
    <row r="96" spans="1:7" x14ac:dyDescent="0.35">
      <c r="A96" s="5" t="s">
        <v>115</v>
      </c>
      <c r="B96" s="2">
        <v>45706</v>
      </c>
      <c r="C96" s="1" t="s">
        <v>12</v>
      </c>
      <c r="D96" s="1" t="s">
        <v>13</v>
      </c>
      <c r="E96" s="1" t="s">
        <v>14</v>
      </c>
      <c r="F96" s="1">
        <v>6</v>
      </c>
      <c r="G96" s="6">
        <v>810</v>
      </c>
    </row>
    <row r="97" spans="1:7" x14ac:dyDescent="0.35">
      <c r="A97" s="5" t="s">
        <v>116</v>
      </c>
      <c r="B97" s="2">
        <v>45690</v>
      </c>
      <c r="C97" s="1" t="s">
        <v>12</v>
      </c>
      <c r="D97" s="1" t="s">
        <v>13</v>
      </c>
      <c r="E97" s="1" t="s">
        <v>14</v>
      </c>
      <c r="F97" s="1">
        <v>1</v>
      </c>
      <c r="G97" s="6">
        <v>505</v>
      </c>
    </row>
    <row r="98" spans="1:7" x14ac:dyDescent="0.35">
      <c r="A98" s="5" t="s">
        <v>117</v>
      </c>
      <c r="B98" s="2">
        <v>45676</v>
      </c>
      <c r="C98" s="1" t="s">
        <v>29</v>
      </c>
      <c r="D98" s="1" t="s">
        <v>27</v>
      </c>
      <c r="E98" s="1" t="s">
        <v>18</v>
      </c>
      <c r="F98" s="1">
        <v>4</v>
      </c>
      <c r="G98" s="6">
        <v>257</v>
      </c>
    </row>
    <row r="99" spans="1:7" x14ac:dyDescent="0.35">
      <c r="A99" s="5" t="s">
        <v>118</v>
      </c>
      <c r="B99" s="2">
        <v>45690</v>
      </c>
      <c r="C99" s="1" t="s">
        <v>25</v>
      </c>
      <c r="D99" s="1" t="s">
        <v>17</v>
      </c>
      <c r="E99" s="1" t="s">
        <v>18</v>
      </c>
      <c r="F99" s="1">
        <v>6</v>
      </c>
      <c r="G99" s="6">
        <v>300</v>
      </c>
    </row>
    <row r="100" spans="1:7" x14ac:dyDescent="0.35">
      <c r="A100" s="5" t="s">
        <v>119</v>
      </c>
      <c r="B100" s="2">
        <v>45673</v>
      </c>
      <c r="C100" s="1" t="s">
        <v>25</v>
      </c>
      <c r="D100" s="1" t="s">
        <v>17</v>
      </c>
      <c r="E100" s="1" t="s">
        <v>18</v>
      </c>
      <c r="F100" s="1">
        <v>6</v>
      </c>
      <c r="G100" s="6">
        <v>65</v>
      </c>
    </row>
    <row r="101" spans="1:7" x14ac:dyDescent="0.35">
      <c r="A101" s="5" t="s">
        <v>120</v>
      </c>
      <c r="B101" s="2">
        <v>45712</v>
      </c>
      <c r="C101" s="1" t="s">
        <v>25</v>
      </c>
      <c r="D101" s="1" t="s">
        <v>23</v>
      </c>
      <c r="E101" s="1" t="s">
        <v>10</v>
      </c>
      <c r="F101" s="1">
        <v>5</v>
      </c>
      <c r="G101" s="6">
        <v>340</v>
      </c>
    </row>
    <row r="102" spans="1:7" x14ac:dyDescent="0.35">
      <c r="A102" s="5" t="s">
        <v>121</v>
      </c>
      <c r="B102" s="2">
        <v>45702</v>
      </c>
      <c r="C102" s="1" t="s">
        <v>8</v>
      </c>
      <c r="D102" s="1" t="s">
        <v>30</v>
      </c>
      <c r="E102" s="1" t="s">
        <v>18</v>
      </c>
      <c r="F102" s="1">
        <v>6</v>
      </c>
      <c r="G102" s="6">
        <v>326</v>
      </c>
    </row>
    <row r="103" spans="1:7" x14ac:dyDescent="0.35">
      <c r="A103" s="5" t="s">
        <v>122</v>
      </c>
      <c r="B103" s="2">
        <v>45679</v>
      </c>
      <c r="C103" s="1" t="s">
        <v>25</v>
      </c>
      <c r="D103" s="1" t="s">
        <v>32</v>
      </c>
      <c r="E103" s="1" t="s">
        <v>18</v>
      </c>
      <c r="F103" s="1">
        <v>7</v>
      </c>
      <c r="G103" s="6">
        <v>146</v>
      </c>
    </row>
    <row r="104" spans="1:7" x14ac:dyDescent="0.35">
      <c r="A104" s="5" t="s">
        <v>123</v>
      </c>
      <c r="B104" s="2">
        <v>45709</v>
      </c>
      <c r="C104" s="1" t="s">
        <v>8</v>
      </c>
      <c r="D104" s="1" t="s">
        <v>27</v>
      </c>
      <c r="E104" s="1" t="s">
        <v>18</v>
      </c>
      <c r="F104" s="1">
        <v>7</v>
      </c>
      <c r="G104" s="6">
        <v>251</v>
      </c>
    </row>
    <row r="105" spans="1:7" x14ac:dyDescent="0.35">
      <c r="A105" s="5" t="s">
        <v>124</v>
      </c>
      <c r="B105" s="2">
        <v>45717</v>
      </c>
      <c r="C105" s="1" t="s">
        <v>25</v>
      </c>
      <c r="D105" s="1" t="s">
        <v>9</v>
      </c>
      <c r="E105" s="1" t="s">
        <v>10</v>
      </c>
      <c r="F105" s="1">
        <v>5</v>
      </c>
      <c r="G105" s="6">
        <v>303</v>
      </c>
    </row>
    <row r="106" spans="1:7" x14ac:dyDescent="0.35">
      <c r="A106" s="5" t="s">
        <v>125</v>
      </c>
      <c r="B106" s="2">
        <v>45715</v>
      </c>
      <c r="C106" s="1" t="s">
        <v>12</v>
      </c>
      <c r="D106" s="1" t="s">
        <v>13</v>
      </c>
      <c r="E106" s="1" t="s">
        <v>14</v>
      </c>
      <c r="F106" s="1">
        <v>7</v>
      </c>
      <c r="G106" s="6">
        <v>396</v>
      </c>
    </row>
    <row r="107" spans="1:7" x14ac:dyDescent="0.35">
      <c r="A107" s="5" t="s">
        <v>126</v>
      </c>
      <c r="B107" s="2">
        <v>45715</v>
      </c>
      <c r="C107" s="1" t="s">
        <v>12</v>
      </c>
      <c r="D107" s="1" t="s">
        <v>23</v>
      </c>
      <c r="E107" s="1" t="s">
        <v>10</v>
      </c>
      <c r="F107" s="1">
        <v>10</v>
      </c>
      <c r="G107" s="6">
        <v>46</v>
      </c>
    </row>
    <row r="108" spans="1:7" x14ac:dyDescent="0.35">
      <c r="A108" s="5" t="s">
        <v>127</v>
      </c>
      <c r="B108" s="2">
        <v>45691</v>
      </c>
      <c r="C108" s="1" t="s">
        <v>25</v>
      </c>
      <c r="D108" s="1" t="s">
        <v>30</v>
      </c>
      <c r="E108" s="1" t="s">
        <v>18</v>
      </c>
      <c r="F108" s="1">
        <v>8</v>
      </c>
      <c r="G108" s="6">
        <v>873</v>
      </c>
    </row>
    <row r="109" spans="1:7" x14ac:dyDescent="0.35">
      <c r="A109" s="5" t="s">
        <v>128</v>
      </c>
      <c r="B109" s="2">
        <v>45679</v>
      </c>
      <c r="C109" s="1" t="s">
        <v>12</v>
      </c>
      <c r="D109" s="1" t="s">
        <v>13</v>
      </c>
      <c r="E109" s="1" t="s">
        <v>14</v>
      </c>
      <c r="F109" s="1">
        <v>8</v>
      </c>
      <c r="G109" s="6">
        <v>619</v>
      </c>
    </row>
    <row r="110" spans="1:7" x14ac:dyDescent="0.35">
      <c r="A110" s="5" t="s">
        <v>129</v>
      </c>
      <c r="B110" s="2">
        <v>45661</v>
      </c>
      <c r="C110" s="1" t="s">
        <v>8</v>
      </c>
      <c r="D110" s="1" t="s">
        <v>13</v>
      </c>
      <c r="E110" s="1" t="s">
        <v>14</v>
      </c>
      <c r="F110" s="1">
        <v>6</v>
      </c>
      <c r="G110" s="6">
        <v>437</v>
      </c>
    </row>
    <row r="111" spans="1:7" x14ac:dyDescent="0.35">
      <c r="A111" s="5" t="s">
        <v>130</v>
      </c>
      <c r="B111" s="2">
        <v>45689</v>
      </c>
      <c r="C111" s="1" t="s">
        <v>29</v>
      </c>
      <c r="D111" s="1" t="s">
        <v>30</v>
      </c>
      <c r="E111" s="1" t="s">
        <v>18</v>
      </c>
      <c r="F111" s="1">
        <v>9</v>
      </c>
      <c r="G111" s="6">
        <v>809</v>
      </c>
    </row>
    <row r="112" spans="1:7" x14ac:dyDescent="0.35">
      <c r="A112" s="5" t="s">
        <v>131</v>
      </c>
      <c r="B112" s="2">
        <v>45674</v>
      </c>
      <c r="C112" s="1" t="s">
        <v>29</v>
      </c>
      <c r="D112" s="1" t="s">
        <v>9</v>
      </c>
      <c r="E112" s="1" t="s">
        <v>10</v>
      </c>
      <c r="F112" s="1">
        <v>2</v>
      </c>
      <c r="G112" s="6">
        <v>551</v>
      </c>
    </row>
    <row r="113" spans="1:7" x14ac:dyDescent="0.35">
      <c r="A113" s="5" t="s">
        <v>132</v>
      </c>
      <c r="B113" s="2">
        <v>45661</v>
      </c>
      <c r="C113" s="1" t="s">
        <v>29</v>
      </c>
      <c r="D113" s="1" t="s">
        <v>30</v>
      </c>
      <c r="E113" s="1" t="s">
        <v>18</v>
      </c>
      <c r="F113" s="1">
        <v>6</v>
      </c>
      <c r="G113" s="6">
        <v>362</v>
      </c>
    </row>
    <row r="114" spans="1:7" x14ac:dyDescent="0.35">
      <c r="A114" s="5" t="s">
        <v>133</v>
      </c>
      <c r="B114" s="2">
        <v>45677</v>
      </c>
      <c r="C114" s="1" t="s">
        <v>25</v>
      </c>
      <c r="D114" s="1" t="s">
        <v>17</v>
      </c>
      <c r="E114" s="1" t="s">
        <v>18</v>
      </c>
      <c r="F114" s="1">
        <v>5</v>
      </c>
      <c r="G114" s="6">
        <v>328</v>
      </c>
    </row>
    <row r="115" spans="1:7" x14ac:dyDescent="0.35">
      <c r="A115" s="5" t="s">
        <v>134</v>
      </c>
      <c r="B115" s="2">
        <v>45708</v>
      </c>
      <c r="C115" s="1" t="s">
        <v>29</v>
      </c>
      <c r="D115" s="1" t="s">
        <v>32</v>
      </c>
      <c r="E115" s="1" t="s">
        <v>18</v>
      </c>
      <c r="F115" s="1">
        <v>6</v>
      </c>
      <c r="G115" s="6">
        <v>389</v>
      </c>
    </row>
    <row r="116" spans="1:7" x14ac:dyDescent="0.35">
      <c r="A116" s="5" t="s">
        <v>135</v>
      </c>
      <c r="B116" s="2">
        <v>45675</v>
      </c>
      <c r="C116" s="1" t="s">
        <v>8</v>
      </c>
      <c r="D116" s="1" t="s">
        <v>17</v>
      </c>
      <c r="E116" s="1" t="s">
        <v>18</v>
      </c>
      <c r="F116" s="1">
        <v>7</v>
      </c>
      <c r="G116" s="6">
        <v>54</v>
      </c>
    </row>
    <row r="117" spans="1:7" x14ac:dyDescent="0.35">
      <c r="A117" s="5" t="s">
        <v>136</v>
      </c>
      <c r="B117" s="2">
        <v>45701</v>
      </c>
      <c r="C117" s="1" t="s">
        <v>8</v>
      </c>
      <c r="D117" s="1" t="s">
        <v>23</v>
      </c>
      <c r="E117" s="1" t="s">
        <v>10</v>
      </c>
      <c r="F117" s="1">
        <v>3</v>
      </c>
      <c r="G117" s="6">
        <v>345</v>
      </c>
    </row>
    <row r="118" spans="1:7" x14ac:dyDescent="0.35">
      <c r="A118" s="5" t="s">
        <v>137</v>
      </c>
      <c r="B118" s="2">
        <v>45704</v>
      </c>
      <c r="C118" s="1" t="s">
        <v>12</v>
      </c>
      <c r="D118" s="1" t="s">
        <v>32</v>
      </c>
      <c r="E118" s="1" t="s">
        <v>18</v>
      </c>
      <c r="F118" s="1">
        <v>9</v>
      </c>
      <c r="G118" s="6">
        <v>863</v>
      </c>
    </row>
    <row r="119" spans="1:7" x14ac:dyDescent="0.35">
      <c r="A119" s="5" t="s">
        <v>138</v>
      </c>
      <c r="B119" s="2">
        <v>45711</v>
      </c>
      <c r="C119" s="1" t="s">
        <v>29</v>
      </c>
      <c r="D119" s="1" t="s">
        <v>13</v>
      </c>
      <c r="E119" s="1" t="s">
        <v>14</v>
      </c>
      <c r="F119" s="1">
        <v>6</v>
      </c>
      <c r="G119" s="6">
        <v>311</v>
      </c>
    </row>
    <row r="120" spans="1:7" x14ac:dyDescent="0.35">
      <c r="A120" s="5" t="s">
        <v>139</v>
      </c>
      <c r="B120" s="2">
        <v>45672</v>
      </c>
      <c r="C120" s="1" t="s">
        <v>25</v>
      </c>
      <c r="D120" s="1" t="s">
        <v>13</v>
      </c>
      <c r="E120" s="1" t="s">
        <v>14</v>
      </c>
      <c r="F120" s="1">
        <v>9</v>
      </c>
      <c r="G120" s="6">
        <v>417</v>
      </c>
    </row>
    <row r="121" spans="1:7" x14ac:dyDescent="0.35">
      <c r="A121" s="5" t="s">
        <v>140</v>
      </c>
      <c r="B121" s="2">
        <v>45699</v>
      </c>
      <c r="C121" s="1" t="s">
        <v>29</v>
      </c>
      <c r="D121" s="1" t="s">
        <v>9</v>
      </c>
      <c r="E121" s="1" t="s">
        <v>10</v>
      </c>
      <c r="F121" s="1">
        <v>1</v>
      </c>
      <c r="G121" s="6">
        <v>747</v>
      </c>
    </row>
    <row r="122" spans="1:7" x14ac:dyDescent="0.35">
      <c r="A122" s="5" t="s">
        <v>141</v>
      </c>
      <c r="B122" s="2">
        <v>45680</v>
      </c>
      <c r="C122" s="1" t="s">
        <v>25</v>
      </c>
      <c r="D122" s="1" t="s">
        <v>27</v>
      </c>
      <c r="E122" s="1" t="s">
        <v>18</v>
      </c>
      <c r="F122" s="1">
        <v>10</v>
      </c>
      <c r="G122" s="6">
        <v>713</v>
      </c>
    </row>
    <row r="123" spans="1:7" x14ac:dyDescent="0.35">
      <c r="A123" s="5" t="s">
        <v>142</v>
      </c>
      <c r="B123" s="2">
        <v>45702</v>
      </c>
      <c r="C123" s="1" t="s">
        <v>8</v>
      </c>
      <c r="D123" s="1" t="s">
        <v>32</v>
      </c>
      <c r="E123" s="1" t="s">
        <v>18</v>
      </c>
      <c r="F123" s="1">
        <v>7</v>
      </c>
      <c r="G123" s="6">
        <v>280</v>
      </c>
    </row>
    <row r="124" spans="1:7" x14ac:dyDescent="0.35">
      <c r="A124" s="5" t="s">
        <v>143</v>
      </c>
      <c r="B124" s="2">
        <v>45704</v>
      </c>
      <c r="C124" s="1" t="s">
        <v>25</v>
      </c>
      <c r="D124" s="1" t="s">
        <v>13</v>
      </c>
      <c r="E124" s="1" t="s">
        <v>14</v>
      </c>
      <c r="F124" s="1">
        <v>2</v>
      </c>
      <c r="G124" s="6">
        <v>241</v>
      </c>
    </row>
    <row r="125" spans="1:7" x14ac:dyDescent="0.35">
      <c r="A125" s="5" t="s">
        <v>144</v>
      </c>
      <c r="B125" s="2">
        <v>45675</v>
      </c>
      <c r="C125" s="1" t="s">
        <v>25</v>
      </c>
      <c r="D125" s="1" t="s">
        <v>32</v>
      </c>
      <c r="E125" s="1" t="s">
        <v>18</v>
      </c>
      <c r="F125" s="1">
        <v>10</v>
      </c>
      <c r="G125" s="6">
        <v>40</v>
      </c>
    </row>
    <row r="126" spans="1:7" x14ac:dyDescent="0.35">
      <c r="A126" s="5" t="s">
        <v>145</v>
      </c>
      <c r="B126" s="2">
        <v>45687</v>
      </c>
      <c r="C126" s="1" t="s">
        <v>12</v>
      </c>
      <c r="D126" s="1" t="s">
        <v>23</v>
      </c>
      <c r="E126" s="1" t="s">
        <v>10</v>
      </c>
      <c r="F126" s="1">
        <v>9</v>
      </c>
      <c r="G126" s="6">
        <v>99</v>
      </c>
    </row>
    <row r="127" spans="1:7" x14ac:dyDescent="0.35">
      <c r="A127" s="5" t="s">
        <v>146</v>
      </c>
      <c r="B127" s="2">
        <v>45662</v>
      </c>
      <c r="C127" s="1" t="s">
        <v>29</v>
      </c>
      <c r="D127" s="1" t="s">
        <v>13</v>
      </c>
      <c r="E127" s="1" t="s">
        <v>14</v>
      </c>
      <c r="F127" s="1">
        <v>9</v>
      </c>
      <c r="G127" s="6">
        <v>307</v>
      </c>
    </row>
    <row r="128" spans="1:7" x14ac:dyDescent="0.35">
      <c r="A128" s="5" t="s">
        <v>147</v>
      </c>
      <c r="B128" s="2">
        <v>45715</v>
      </c>
      <c r="C128" s="1" t="s">
        <v>29</v>
      </c>
      <c r="D128" s="1" t="s">
        <v>30</v>
      </c>
      <c r="E128" s="1" t="s">
        <v>18</v>
      </c>
      <c r="F128" s="1">
        <v>3</v>
      </c>
      <c r="G128" s="6">
        <v>682</v>
      </c>
    </row>
    <row r="129" spans="1:7" x14ac:dyDescent="0.35">
      <c r="A129" s="5" t="s">
        <v>148</v>
      </c>
      <c r="B129" s="2">
        <v>45688</v>
      </c>
      <c r="C129" s="1" t="s">
        <v>25</v>
      </c>
      <c r="D129" s="1" t="s">
        <v>30</v>
      </c>
      <c r="E129" s="1" t="s">
        <v>18</v>
      </c>
      <c r="F129" s="1">
        <v>3</v>
      </c>
      <c r="G129" s="6">
        <v>544</v>
      </c>
    </row>
    <row r="130" spans="1:7" x14ac:dyDescent="0.35">
      <c r="A130" s="5" t="s">
        <v>149</v>
      </c>
      <c r="B130" s="2">
        <v>45687</v>
      </c>
      <c r="C130" s="1" t="s">
        <v>8</v>
      </c>
      <c r="D130" s="1" t="s">
        <v>30</v>
      </c>
      <c r="E130" s="1" t="s">
        <v>18</v>
      </c>
      <c r="F130" s="1">
        <v>5</v>
      </c>
      <c r="G130" s="6">
        <v>141</v>
      </c>
    </row>
    <row r="131" spans="1:7" x14ac:dyDescent="0.35">
      <c r="A131" s="5" t="s">
        <v>150</v>
      </c>
      <c r="B131" s="2">
        <v>45687</v>
      </c>
      <c r="C131" s="1" t="s">
        <v>12</v>
      </c>
      <c r="D131" s="1" t="s">
        <v>23</v>
      </c>
      <c r="E131" s="1" t="s">
        <v>10</v>
      </c>
      <c r="F131" s="1">
        <v>2</v>
      </c>
      <c r="G131" s="6">
        <v>724</v>
      </c>
    </row>
    <row r="132" spans="1:7" x14ac:dyDescent="0.35">
      <c r="A132" s="5" t="s">
        <v>151</v>
      </c>
      <c r="B132" s="2">
        <v>45713</v>
      </c>
      <c r="C132" s="1" t="s">
        <v>29</v>
      </c>
      <c r="D132" s="1" t="s">
        <v>27</v>
      </c>
      <c r="E132" s="1" t="s">
        <v>18</v>
      </c>
      <c r="F132" s="1">
        <v>2</v>
      </c>
      <c r="G132" s="6">
        <v>793</v>
      </c>
    </row>
    <row r="133" spans="1:7" x14ac:dyDescent="0.35">
      <c r="A133" s="5" t="s">
        <v>152</v>
      </c>
      <c r="B133" s="2">
        <v>45688</v>
      </c>
      <c r="C133" s="1" t="s">
        <v>12</v>
      </c>
      <c r="D133" s="1" t="s">
        <v>32</v>
      </c>
      <c r="E133" s="1" t="s">
        <v>18</v>
      </c>
      <c r="F133" s="1">
        <v>2</v>
      </c>
      <c r="G133" s="6">
        <v>554</v>
      </c>
    </row>
    <row r="134" spans="1:7" x14ac:dyDescent="0.35">
      <c r="A134" s="5" t="s">
        <v>153</v>
      </c>
      <c r="B134" s="2">
        <v>45661</v>
      </c>
      <c r="C134" s="1" t="s">
        <v>29</v>
      </c>
      <c r="D134" s="1" t="s">
        <v>32</v>
      </c>
      <c r="E134" s="1" t="s">
        <v>18</v>
      </c>
      <c r="F134" s="1">
        <v>4</v>
      </c>
      <c r="G134" s="6">
        <v>743</v>
      </c>
    </row>
    <row r="135" spans="1:7" x14ac:dyDescent="0.35">
      <c r="A135" s="5" t="s">
        <v>154</v>
      </c>
      <c r="B135" s="2">
        <v>45703</v>
      </c>
      <c r="C135" s="1" t="s">
        <v>12</v>
      </c>
      <c r="D135" s="1" t="s">
        <v>17</v>
      </c>
      <c r="E135" s="1" t="s">
        <v>18</v>
      </c>
      <c r="F135" s="1">
        <v>3</v>
      </c>
      <c r="G135" s="6">
        <v>193</v>
      </c>
    </row>
    <row r="136" spans="1:7" x14ac:dyDescent="0.35">
      <c r="A136" s="5" t="s">
        <v>155</v>
      </c>
      <c r="B136" s="2">
        <v>45707</v>
      </c>
      <c r="C136" s="1" t="s">
        <v>8</v>
      </c>
      <c r="D136" s="1" t="s">
        <v>32</v>
      </c>
      <c r="E136" s="1" t="s">
        <v>18</v>
      </c>
      <c r="F136" s="1">
        <v>1</v>
      </c>
      <c r="G136" s="6">
        <v>851</v>
      </c>
    </row>
    <row r="137" spans="1:7" x14ac:dyDescent="0.35">
      <c r="A137" s="5" t="s">
        <v>156</v>
      </c>
      <c r="B137" s="2">
        <v>45693</v>
      </c>
      <c r="C137" s="1" t="s">
        <v>8</v>
      </c>
      <c r="D137" s="1" t="s">
        <v>17</v>
      </c>
      <c r="E137" s="1" t="s">
        <v>18</v>
      </c>
      <c r="F137" s="1">
        <v>5</v>
      </c>
      <c r="G137" s="6">
        <v>448</v>
      </c>
    </row>
    <row r="138" spans="1:7" x14ac:dyDescent="0.35">
      <c r="A138" s="5" t="s">
        <v>157</v>
      </c>
      <c r="B138" s="2">
        <v>45665</v>
      </c>
      <c r="C138" s="1" t="s">
        <v>25</v>
      </c>
      <c r="D138" s="1" t="s">
        <v>17</v>
      </c>
      <c r="E138" s="1" t="s">
        <v>18</v>
      </c>
      <c r="F138" s="1">
        <v>9</v>
      </c>
      <c r="G138" s="6">
        <v>231</v>
      </c>
    </row>
    <row r="139" spans="1:7" x14ac:dyDescent="0.35">
      <c r="A139" s="5" t="s">
        <v>158</v>
      </c>
      <c r="B139" s="2">
        <v>45661</v>
      </c>
      <c r="C139" s="1" t="s">
        <v>25</v>
      </c>
      <c r="D139" s="1" t="s">
        <v>17</v>
      </c>
      <c r="E139" s="1" t="s">
        <v>18</v>
      </c>
      <c r="F139" s="1">
        <v>8</v>
      </c>
      <c r="G139" s="6">
        <v>191</v>
      </c>
    </row>
    <row r="140" spans="1:7" x14ac:dyDescent="0.35">
      <c r="A140" s="5" t="s">
        <v>159</v>
      </c>
      <c r="B140" s="2">
        <v>45665</v>
      </c>
      <c r="C140" s="1" t="s">
        <v>29</v>
      </c>
      <c r="D140" s="1" t="s">
        <v>17</v>
      </c>
      <c r="E140" s="1" t="s">
        <v>18</v>
      </c>
      <c r="F140" s="1">
        <v>5</v>
      </c>
      <c r="G140" s="6">
        <v>479</v>
      </c>
    </row>
    <row r="141" spans="1:7" x14ac:dyDescent="0.35">
      <c r="A141" s="5" t="s">
        <v>160</v>
      </c>
      <c r="B141" s="2">
        <v>45701</v>
      </c>
      <c r="C141" s="1" t="s">
        <v>25</v>
      </c>
      <c r="D141" s="1" t="s">
        <v>9</v>
      </c>
      <c r="E141" s="1" t="s">
        <v>10</v>
      </c>
      <c r="F141" s="1">
        <v>9</v>
      </c>
      <c r="G141" s="6">
        <v>308</v>
      </c>
    </row>
    <row r="142" spans="1:7" x14ac:dyDescent="0.35">
      <c r="A142" s="5" t="s">
        <v>161</v>
      </c>
      <c r="B142" s="2">
        <v>45664</v>
      </c>
      <c r="C142" s="1" t="s">
        <v>8</v>
      </c>
      <c r="D142" s="1" t="s">
        <v>9</v>
      </c>
      <c r="E142" s="1" t="s">
        <v>10</v>
      </c>
      <c r="F142" s="1">
        <v>3</v>
      </c>
      <c r="G142" s="6">
        <v>292</v>
      </c>
    </row>
    <row r="143" spans="1:7" x14ac:dyDescent="0.35">
      <c r="A143" s="5" t="s">
        <v>162</v>
      </c>
      <c r="B143" s="2">
        <v>45660</v>
      </c>
      <c r="C143" s="1" t="s">
        <v>12</v>
      </c>
      <c r="D143" s="1" t="s">
        <v>9</v>
      </c>
      <c r="E143" s="1" t="s">
        <v>10</v>
      </c>
      <c r="F143" s="1">
        <v>5</v>
      </c>
      <c r="G143" s="6">
        <v>493</v>
      </c>
    </row>
    <row r="144" spans="1:7" x14ac:dyDescent="0.35">
      <c r="A144" s="5" t="s">
        <v>163</v>
      </c>
      <c r="B144" s="2">
        <v>45685</v>
      </c>
      <c r="C144" s="1" t="s">
        <v>25</v>
      </c>
      <c r="D144" s="1" t="s">
        <v>23</v>
      </c>
      <c r="E144" s="1" t="s">
        <v>10</v>
      </c>
      <c r="F144" s="1">
        <v>2</v>
      </c>
      <c r="G144" s="6">
        <v>645</v>
      </c>
    </row>
    <row r="145" spans="1:7" x14ac:dyDescent="0.35">
      <c r="A145" s="5" t="s">
        <v>164</v>
      </c>
      <c r="B145" s="2">
        <v>45701</v>
      </c>
      <c r="C145" s="1" t="s">
        <v>25</v>
      </c>
      <c r="D145" s="1" t="s">
        <v>27</v>
      </c>
      <c r="E145" s="1" t="s">
        <v>18</v>
      </c>
      <c r="F145" s="1">
        <v>7</v>
      </c>
      <c r="G145" s="6">
        <v>851</v>
      </c>
    </row>
    <row r="146" spans="1:7" x14ac:dyDescent="0.35">
      <c r="A146" s="5" t="s">
        <v>165</v>
      </c>
      <c r="B146" s="2">
        <v>45699</v>
      </c>
      <c r="C146" s="1" t="s">
        <v>8</v>
      </c>
      <c r="D146" s="1" t="s">
        <v>13</v>
      </c>
      <c r="E146" s="1" t="s">
        <v>14</v>
      </c>
      <c r="F146" s="1">
        <v>8</v>
      </c>
      <c r="G146" s="6">
        <v>497</v>
      </c>
    </row>
    <row r="147" spans="1:7" x14ac:dyDescent="0.35">
      <c r="A147" s="5" t="s">
        <v>166</v>
      </c>
      <c r="B147" s="2">
        <v>45700</v>
      </c>
      <c r="C147" s="1" t="s">
        <v>8</v>
      </c>
      <c r="D147" s="1" t="s">
        <v>23</v>
      </c>
      <c r="E147" s="1" t="s">
        <v>10</v>
      </c>
      <c r="F147" s="1">
        <v>2</v>
      </c>
      <c r="G147" s="6">
        <v>722</v>
      </c>
    </row>
    <row r="148" spans="1:7" x14ac:dyDescent="0.35">
      <c r="A148" s="5" t="s">
        <v>167</v>
      </c>
      <c r="B148" s="2">
        <v>45659</v>
      </c>
      <c r="C148" s="1" t="s">
        <v>12</v>
      </c>
      <c r="D148" s="1" t="s">
        <v>13</v>
      </c>
      <c r="E148" s="1" t="s">
        <v>14</v>
      </c>
      <c r="F148" s="1">
        <v>3</v>
      </c>
      <c r="G148" s="6">
        <v>332</v>
      </c>
    </row>
    <row r="149" spans="1:7" x14ac:dyDescent="0.35">
      <c r="A149" s="5" t="s">
        <v>168</v>
      </c>
      <c r="B149" s="2">
        <v>45695</v>
      </c>
      <c r="C149" s="1" t="s">
        <v>25</v>
      </c>
      <c r="D149" s="1" t="s">
        <v>17</v>
      </c>
      <c r="E149" s="1" t="s">
        <v>18</v>
      </c>
      <c r="F149" s="1">
        <v>5</v>
      </c>
      <c r="G149" s="6">
        <v>90</v>
      </c>
    </row>
    <row r="150" spans="1:7" x14ac:dyDescent="0.35">
      <c r="A150" s="5" t="s">
        <v>169</v>
      </c>
      <c r="B150" s="2">
        <v>45670</v>
      </c>
      <c r="C150" s="1" t="s">
        <v>29</v>
      </c>
      <c r="D150" s="1" t="s">
        <v>32</v>
      </c>
      <c r="E150" s="1" t="s">
        <v>18</v>
      </c>
      <c r="F150" s="1">
        <v>4</v>
      </c>
      <c r="G150" s="6">
        <v>328</v>
      </c>
    </row>
    <row r="151" spans="1:7" x14ac:dyDescent="0.35">
      <c r="A151" s="5" t="s">
        <v>170</v>
      </c>
      <c r="B151" s="2">
        <v>45713</v>
      </c>
      <c r="C151" s="1" t="s">
        <v>29</v>
      </c>
      <c r="D151" s="1" t="s">
        <v>13</v>
      </c>
      <c r="E151" s="1" t="s">
        <v>14</v>
      </c>
      <c r="F151" s="1">
        <v>4</v>
      </c>
      <c r="G151" s="6">
        <v>865</v>
      </c>
    </row>
    <row r="152" spans="1:7" x14ac:dyDescent="0.35">
      <c r="A152" s="5" t="s">
        <v>171</v>
      </c>
      <c r="B152" s="2">
        <v>45676</v>
      </c>
      <c r="C152" s="1" t="s">
        <v>12</v>
      </c>
      <c r="D152" s="1" t="s">
        <v>32</v>
      </c>
      <c r="E152" s="1" t="s">
        <v>18</v>
      </c>
      <c r="F152" s="1">
        <v>9</v>
      </c>
      <c r="G152" s="6">
        <v>237</v>
      </c>
    </row>
    <row r="153" spans="1:7" x14ac:dyDescent="0.35">
      <c r="A153" s="5" t="s">
        <v>172</v>
      </c>
      <c r="B153" s="2">
        <v>45702</v>
      </c>
      <c r="C153" s="1" t="s">
        <v>8</v>
      </c>
      <c r="D153" s="1" t="s">
        <v>9</v>
      </c>
      <c r="E153" s="1" t="s">
        <v>10</v>
      </c>
      <c r="F153" s="1">
        <v>6</v>
      </c>
      <c r="G153" s="6">
        <v>438</v>
      </c>
    </row>
    <row r="154" spans="1:7" x14ac:dyDescent="0.35">
      <c r="A154" s="5" t="s">
        <v>173</v>
      </c>
      <c r="B154" s="2">
        <v>45715</v>
      </c>
      <c r="C154" s="1" t="s">
        <v>8</v>
      </c>
      <c r="D154" s="1" t="s">
        <v>17</v>
      </c>
      <c r="E154" s="1" t="s">
        <v>18</v>
      </c>
      <c r="F154" s="1">
        <v>4</v>
      </c>
      <c r="G154" s="6">
        <v>528</v>
      </c>
    </row>
    <row r="155" spans="1:7" x14ac:dyDescent="0.35">
      <c r="A155" s="5" t="s">
        <v>174</v>
      </c>
      <c r="B155" s="2">
        <v>45684</v>
      </c>
      <c r="C155" s="1" t="s">
        <v>29</v>
      </c>
      <c r="D155" s="1" t="s">
        <v>9</v>
      </c>
      <c r="E155" s="1" t="s">
        <v>10</v>
      </c>
      <c r="F155" s="1">
        <v>7</v>
      </c>
      <c r="G155" s="6">
        <v>719</v>
      </c>
    </row>
    <row r="156" spans="1:7" x14ac:dyDescent="0.35">
      <c r="A156" s="5" t="s">
        <v>175</v>
      </c>
      <c r="B156" s="2">
        <v>45717</v>
      </c>
      <c r="C156" s="1" t="s">
        <v>25</v>
      </c>
      <c r="D156" s="1" t="s">
        <v>13</v>
      </c>
      <c r="E156" s="1" t="s">
        <v>14</v>
      </c>
      <c r="F156" s="1">
        <v>5</v>
      </c>
      <c r="G156" s="6">
        <v>207</v>
      </c>
    </row>
    <row r="157" spans="1:7" x14ac:dyDescent="0.35">
      <c r="A157" s="5" t="s">
        <v>176</v>
      </c>
      <c r="B157" s="2">
        <v>45658</v>
      </c>
      <c r="C157" s="1" t="s">
        <v>8</v>
      </c>
      <c r="D157" s="1" t="s">
        <v>13</v>
      </c>
      <c r="E157" s="1" t="s">
        <v>14</v>
      </c>
      <c r="F157" s="1">
        <v>7</v>
      </c>
      <c r="G157" s="6">
        <v>271</v>
      </c>
    </row>
    <row r="158" spans="1:7" x14ac:dyDescent="0.35">
      <c r="A158" s="5" t="s">
        <v>177</v>
      </c>
      <c r="B158" s="2">
        <v>45666</v>
      </c>
      <c r="C158" s="1" t="s">
        <v>29</v>
      </c>
      <c r="D158" s="1" t="s">
        <v>23</v>
      </c>
      <c r="E158" s="1" t="s">
        <v>10</v>
      </c>
      <c r="F158" s="1">
        <v>7</v>
      </c>
      <c r="G158" s="6">
        <v>717</v>
      </c>
    </row>
    <row r="159" spans="1:7" x14ac:dyDescent="0.35">
      <c r="A159" s="5" t="s">
        <v>178</v>
      </c>
      <c r="B159" s="2">
        <v>45715</v>
      </c>
      <c r="C159" s="1" t="s">
        <v>29</v>
      </c>
      <c r="D159" s="1" t="s">
        <v>23</v>
      </c>
      <c r="E159" s="1" t="s">
        <v>10</v>
      </c>
      <c r="F159" s="1">
        <v>5</v>
      </c>
      <c r="G159" s="6">
        <v>145</v>
      </c>
    </row>
    <row r="160" spans="1:7" x14ac:dyDescent="0.35">
      <c r="A160" s="5" t="s">
        <v>179</v>
      </c>
      <c r="B160" s="2">
        <v>45700</v>
      </c>
      <c r="C160" s="1" t="s">
        <v>29</v>
      </c>
      <c r="D160" s="1" t="s">
        <v>17</v>
      </c>
      <c r="E160" s="1" t="s">
        <v>18</v>
      </c>
      <c r="F160" s="1">
        <v>7</v>
      </c>
      <c r="G160" s="6">
        <v>234</v>
      </c>
    </row>
    <row r="161" spans="1:7" x14ac:dyDescent="0.35">
      <c r="A161" s="5" t="s">
        <v>180</v>
      </c>
      <c r="B161" s="2">
        <v>45705</v>
      </c>
      <c r="C161" s="1" t="s">
        <v>29</v>
      </c>
      <c r="D161" s="1" t="s">
        <v>30</v>
      </c>
      <c r="E161" s="1" t="s">
        <v>18</v>
      </c>
      <c r="F161" s="1">
        <v>6</v>
      </c>
      <c r="G161" s="6">
        <v>852</v>
      </c>
    </row>
    <row r="162" spans="1:7" x14ac:dyDescent="0.35">
      <c r="A162" s="5" t="s">
        <v>181</v>
      </c>
      <c r="B162" s="2">
        <v>45710</v>
      </c>
      <c r="C162" s="1" t="s">
        <v>12</v>
      </c>
      <c r="D162" s="1" t="s">
        <v>13</v>
      </c>
      <c r="E162" s="1" t="s">
        <v>14</v>
      </c>
      <c r="F162" s="1">
        <v>10</v>
      </c>
      <c r="G162" s="6">
        <v>594</v>
      </c>
    </row>
    <row r="163" spans="1:7" x14ac:dyDescent="0.35">
      <c r="A163" s="5" t="s">
        <v>182</v>
      </c>
      <c r="B163" s="2">
        <v>45665</v>
      </c>
      <c r="C163" s="1" t="s">
        <v>12</v>
      </c>
      <c r="D163" s="1" t="s">
        <v>27</v>
      </c>
      <c r="E163" s="1" t="s">
        <v>18</v>
      </c>
      <c r="F163" s="1">
        <v>9</v>
      </c>
      <c r="G163" s="6">
        <v>264</v>
      </c>
    </row>
    <row r="164" spans="1:7" x14ac:dyDescent="0.35">
      <c r="A164" s="5" t="s">
        <v>183</v>
      </c>
      <c r="B164" s="2">
        <v>45675</v>
      </c>
      <c r="C164" s="1" t="s">
        <v>12</v>
      </c>
      <c r="D164" s="1" t="s">
        <v>9</v>
      </c>
      <c r="E164" s="1" t="s">
        <v>10</v>
      </c>
      <c r="F164" s="1">
        <v>8</v>
      </c>
      <c r="G164" s="6">
        <v>593</v>
      </c>
    </row>
    <row r="165" spans="1:7" x14ac:dyDescent="0.35">
      <c r="A165" s="5" t="s">
        <v>184</v>
      </c>
      <c r="B165" s="2">
        <v>45675</v>
      </c>
      <c r="C165" s="1" t="s">
        <v>12</v>
      </c>
      <c r="D165" s="1" t="s">
        <v>27</v>
      </c>
      <c r="E165" s="1" t="s">
        <v>18</v>
      </c>
      <c r="F165" s="1">
        <v>8</v>
      </c>
      <c r="G165" s="6">
        <v>692</v>
      </c>
    </row>
    <row r="166" spans="1:7" x14ac:dyDescent="0.35">
      <c r="A166" s="5" t="s">
        <v>185</v>
      </c>
      <c r="B166" s="2">
        <v>45692</v>
      </c>
      <c r="C166" s="1" t="s">
        <v>25</v>
      </c>
      <c r="D166" s="1" t="s">
        <v>23</v>
      </c>
      <c r="E166" s="1" t="s">
        <v>10</v>
      </c>
      <c r="F166" s="1">
        <v>6</v>
      </c>
      <c r="G166" s="6">
        <v>676</v>
      </c>
    </row>
    <row r="167" spans="1:7" x14ac:dyDescent="0.35">
      <c r="A167" s="5" t="s">
        <v>186</v>
      </c>
      <c r="B167" s="2">
        <v>45694</v>
      </c>
      <c r="C167" s="1" t="s">
        <v>12</v>
      </c>
      <c r="D167" s="1" t="s">
        <v>23</v>
      </c>
      <c r="E167" s="1" t="s">
        <v>10</v>
      </c>
      <c r="F167" s="1">
        <v>1</v>
      </c>
      <c r="G167" s="6">
        <v>681</v>
      </c>
    </row>
    <row r="168" spans="1:7" x14ac:dyDescent="0.35">
      <c r="A168" s="5" t="s">
        <v>187</v>
      </c>
      <c r="B168" s="2">
        <v>45707</v>
      </c>
      <c r="C168" s="1" t="s">
        <v>8</v>
      </c>
      <c r="D168" s="1" t="s">
        <v>23</v>
      </c>
      <c r="E168" s="1" t="s">
        <v>10</v>
      </c>
      <c r="F168" s="1">
        <v>1</v>
      </c>
      <c r="G168" s="6">
        <v>590</v>
      </c>
    </row>
    <row r="169" spans="1:7" x14ac:dyDescent="0.35">
      <c r="A169" s="5" t="s">
        <v>188</v>
      </c>
      <c r="B169" s="2">
        <v>45704</v>
      </c>
      <c r="C169" s="1" t="s">
        <v>25</v>
      </c>
      <c r="D169" s="1" t="s">
        <v>30</v>
      </c>
      <c r="E169" s="1" t="s">
        <v>18</v>
      </c>
      <c r="F169" s="1">
        <v>9</v>
      </c>
      <c r="G169" s="6">
        <v>310</v>
      </c>
    </row>
    <row r="170" spans="1:7" x14ac:dyDescent="0.35">
      <c r="A170" s="5" t="s">
        <v>189</v>
      </c>
      <c r="B170" s="2">
        <v>45714</v>
      </c>
      <c r="C170" s="1" t="s">
        <v>25</v>
      </c>
      <c r="D170" s="1" t="s">
        <v>30</v>
      </c>
      <c r="E170" s="1" t="s">
        <v>18</v>
      </c>
      <c r="F170" s="1">
        <v>1</v>
      </c>
      <c r="G170" s="6">
        <v>787</v>
      </c>
    </row>
    <row r="171" spans="1:7" x14ac:dyDescent="0.35">
      <c r="A171" s="5" t="s">
        <v>190</v>
      </c>
      <c r="B171" s="2">
        <v>45674</v>
      </c>
      <c r="C171" s="1" t="s">
        <v>29</v>
      </c>
      <c r="D171" s="1" t="s">
        <v>30</v>
      </c>
      <c r="E171" s="1" t="s">
        <v>18</v>
      </c>
      <c r="F171" s="1">
        <v>10</v>
      </c>
      <c r="G171" s="6">
        <v>123</v>
      </c>
    </row>
    <row r="172" spans="1:7" x14ac:dyDescent="0.35">
      <c r="A172" s="5" t="s">
        <v>191</v>
      </c>
      <c r="B172" s="2">
        <v>45703</v>
      </c>
      <c r="C172" s="1" t="s">
        <v>25</v>
      </c>
      <c r="D172" s="1" t="s">
        <v>13</v>
      </c>
      <c r="E172" s="1" t="s">
        <v>14</v>
      </c>
      <c r="F172" s="1">
        <v>8</v>
      </c>
      <c r="G172" s="6">
        <v>37</v>
      </c>
    </row>
    <row r="173" spans="1:7" x14ac:dyDescent="0.35">
      <c r="A173" s="5" t="s">
        <v>192</v>
      </c>
      <c r="B173" s="2">
        <v>45693</v>
      </c>
      <c r="C173" s="1" t="s">
        <v>29</v>
      </c>
      <c r="D173" s="1" t="s">
        <v>32</v>
      </c>
      <c r="E173" s="1" t="s">
        <v>18</v>
      </c>
      <c r="F173" s="1">
        <v>1</v>
      </c>
      <c r="G173" s="6">
        <v>139</v>
      </c>
    </row>
    <row r="174" spans="1:7" x14ac:dyDescent="0.35">
      <c r="A174" s="5" t="s">
        <v>193</v>
      </c>
      <c r="B174" s="2">
        <v>45708</v>
      </c>
      <c r="C174" s="1" t="s">
        <v>12</v>
      </c>
      <c r="D174" s="1" t="s">
        <v>9</v>
      </c>
      <c r="E174" s="1" t="s">
        <v>10</v>
      </c>
      <c r="F174" s="1">
        <v>10</v>
      </c>
      <c r="G174" s="6">
        <v>169</v>
      </c>
    </row>
    <row r="175" spans="1:7" x14ac:dyDescent="0.35">
      <c r="A175" s="5" t="s">
        <v>194</v>
      </c>
      <c r="B175" s="2">
        <v>45715</v>
      </c>
      <c r="C175" s="1" t="s">
        <v>25</v>
      </c>
      <c r="D175" s="1" t="s">
        <v>30</v>
      </c>
      <c r="E175" s="1" t="s">
        <v>18</v>
      </c>
      <c r="F175" s="1">
        <v>1</v>
      </c>
      <c r="G175" s="6">
        <v>117</v>
      </c>
    </row>
    <row r="176" spans="1:7" x14ac:dyDescent="0.35">
      <c r="A176" s="5" t="s">
        <v>195</v>
      </c>
      <c r="B176" s="2">
        <v>45659</v>
      </c>
      <c r="C176" s="1" t="s">
        <v>8</v>
      </c>
      <c r="D176" s="1" t="s">
        <v>13</v>
      </c>
      <c r="E176" s="1" t="s">
        <v>14</v>
      </c>
      <c r="F176" s="1">
        <v>7</v>
      </c>
      <c r="G176" s="6">
        <v>371</v>
      </c>
    </row>
    <row r="177" spans="1:7" x14ac:dyDescent="0.35">
      <c r="A177" s="5" t="s">
        <v>196</v>
      </c>
      <c r="B177" s="2">
        <v>45685</v>
      </c>
      <c r="C177" s="1" t="s">
        <v>12</v>
      </c>
      <c r="D177" s="1" t="s">
        <v>13</v>
      </c>
      <c r="E177" s="1" t="s">
        <v>14</v>
      </c>
      <c r="F177" s="1">
        <v>5</v>
      </c>
      <c r="G177" s="6">
        <v>240</v>
      </c>
    </row>
    <row r="178" spans="1:7" x14ac:dyDescent="0.35">
      <c r="A178" s="5" t="s">
        <v>197</v>
      </c>
      <c r="B178" s="2">
        <v>45706</v>
      </c>
      <c r="C178" s="1" t="s">
        <v>25</v>
      </c>
      <c r="D178" s="1" t="s">
        <v>27</v>
      </c>
      <c r="E178" s="1" t="s">
        <v>18</v>
      </c>
      <c r="F178" s="1">
        <v>3</v>
      </c>
      <c r="G178" s="6">
        <v>748</v>
      </c>
    </row>
    <row r="179" spans="1:7" x14ac:dyDescent="0.35">
      <c r="A179" s="5" t="s">
        <v>198</v>
      </c>
      <c r="B179" s="2">
        <v>45689</v>
      </c>
      <c r="C179" s="1" t="s">
        <v>29</v>
      </c>
      <c r="D179" s="1" t="s">
        <v>23</v>
      </c>
      <c r="E179" s="1" t="s">
        <v>10</v>
      </c>
      <c r="F179" s="1">
        <v>1</v>
      </c>
      <c r="G179" s="6">
        <v>798</v>
      </c>
    </row>
    <row r="180" spans="1:7" x14ac:dyDescent="0.35">
      <c r="A180" s="5" t="s">
        <v>199</v>
      </c>
      <c r="B180" s="2">
        <v>45680</v>
      </c>
      <c r="C180" s="1" t="s">
        <v>29</v>
      </c>
      <c r="D180" s="1" t="s">
        <v>9</v>
      </c>
      <c r="E180" s="1" t="s">
        <v>10</v>
      </c>
      <c r="F180" s="1">
        <v>10</v>
      </c>
      <c r="G180" s="6">
        <v>361</v>
      </c>
    </row>
    <row r="181" spans="1:7" x14ac:dyDescent="0.35">
      <c r="A181" s="5" t="s">
        <v>200</v>
      </c>
      <c r="B181" s="2">
        <v>45665</v>
      </c>
      <c r="C181" s="1" t="s">
        <v>12</v>
      </c>
      <c r="D181" s="1" t="s">
        <v>17</v>
      </c>
      <c r="E181" s="1" t="s">
        <v>18</v>
      </c>
      <c r="F181" s="1">
        <v>6</v>
      </c>
      <c r="G181" s="6">
        <v>68</v>
      </c>
    </row>
    <row r="182" spans="1:7" x14ac:dyDescent="0.35">
      <c r="A182" s="5" t="s">
        <v>201</v>
      </c>
      <c r="B182" s="2">
        <v>45665</v>
      </c>
      <c r="C182" s="1" t="s">
        <v>29</v>
      </c>
      <c r="D182" s="1" t="s">
        <v>27</v>
      </c>
      <c r="E182" s="1" t="s">
        <v>18</v>
      </c>
      <c r="F182" s="1">
        <v>3</v>
      </c>
      <c r="G182" s="6">
        <v>672</v>
      </c>
    </row>
    <row r="183" spans="1:7" x14ac:dyDescent="0.35">
      <c r="A183" s="5" t="s">
        <v>202</v>
      </c>
      <c r="B183" s="2">
        <v>45711</v>
      </c>
      <c r="C183" s="1" t="s">
        <v>25</v>
      </c>
      <c r="D183" s="1" t="s">
        <v>23</v>
      </c>
      <c r="E183" s="1" t="s">
        <v>10</v>
      </c>
      <c r="F183" s="1">
        <v>6</v>
      </c>
      <c r="G183" s="6">
        <v>309</v>
      </c>
    </row>
    <row r="184" spans="1:7" x14ac:dyDescent="0.35">
      <c r="A184" s="5" t="s">
        <v>203</v>
      </c>
      <c r="B184" s="2">
        <v>45698</v>
      </c>
      <c r="C184" s="1" t="s">
        <v>29</v>
      </c>
      <c r="D184" s="1" t="s">
        <v>32</v>
      </c>
      <c r="E184" s="1" t="s">
        <v>18</v>
      </c>
      <c r="F184" s="1">
        <v>8</v>
      </c>
      <c r="G184" s="6">
        <v>346</v>
      </c>
    </row>
    <row r="185" spans="1:7" x14ac:dyDescent="0.35">
      <c r="A185" s="5" t="s">
        <v>204</v>
      </c>
      <c r="B185" s="2">
        <v>45673</v>
      </c>
      <c r="C185" s="1" t="s">
        <v>29</v>
      </c>
      <c r="D185" s="1" t="s">
        <v>32</v>
      </c>
      <c r="E185" s="1" t="s">
        <v>18</v>
      </c>
      <c r="F185" s="1">
        <v>2</v>
      </c>
      <c r="G185" s="6">
        <v>200</v>
      </c>
    </row>
    <row r="186" spans="1:7" x14ac:dyDescent="0.35">
      <c r="A186" s="5" t="s">
        <v>205</v>
      </c>
      <c r="B186" s="2">
        <v>45668</v>
      </c>
      <c r="C186" s="1" t="s">
        <v>25</v>
      </c>
      <c r="D186" s="1" t="s">
        <v>27</v>
      </c>
      <c r="E186" s="1" t="s">
        <v>18</v>
      </c>
      <c r="F186" s="1">
        <v>1</v>
      </c>
      <c r="G186" s="6">
        <v>818</v>
      </c>
    </row>
    <row r="187" spans="1:7" x14ac:dyDescent="0.35">
      <c r="A187" s="5" t="s">
        <v>206</v>
      </c>
      <c r="B187" s="2">
        <v>45696</v>
      </c>
      <c r="C187" s="1" t="s">
        <v>25</v>
      </c>
      <c r="D187" s="1" t="s">
        <v>13</v>
      </c>
      <c r="E187" s="1" t="s">
        <v>14</v>
      </c>
      <c r="F187" s="1">
        <v>4</v>
      </c>
      <c r="G187" s="6">
        <v>81</v>
      </c>
    </row>
    <row r="188" spans="1:7" x14ac:dyDescent="0.35">
      <c r="A188" s="5" t="s">
        <v>207</v>
      </c>
      <c r="B188" s="2">
        <v>45697</v>
      </c>
      <c r="C188" s="1" t="s">
        <v>25</v>
      </c>
      <c r="D188" s="1" t="s">
        <v>32</v>
      </c>
      <c r="E188" s="1" t="s">
        <v>18</v>
      </c>
      <c r="F188" s="1">
        <v>7</v>
      </c>
      <c r="G188" s="6">
        <v>399</v>
      </c>
    </row>
    <row r="189" spans="1:7" x14ac:dyDescent="0.35">
      <c r="A189" s="5" t="s">
        <v>208</v>
      </c>
      <c r="B189" s="2">
        <v>45689</v>
      </c>
      <c r="C189" s="1" t="s">
        <v>12</v>
      </c>
      <c r="D189" s="1" t="s">
        <v>13</v>
      </c>
      <c r="E189" s="1" t="s">
        <v>14</v>
      </c>
      <c r="F189" s="1">
        <v>10</v>
      </c>
      <c r="G189" s="6">
        <v>890</v>
      </c>
    </row>
    <row r="190" spans="1:7" x14ac:dyDescent="0.35">
      <c r="A190" s="5" t="s">
        <v>209</v>
      </c>
      <c r="B190" s="2">
        <v>45705</v>
      </c>
      <c r="C190" s="1" t="s">
        <v>12</v>
      </c>
      <c r="D190" s="1" t="s">
        <v>17</v>
      </c>
      <c r="E190" s="1" t="s">
        <v>18</v>
      </c>
      <c r="F190" s="1">
        <v>5</v>
      </c>
      <c r="G190" s="6">
        <v>475</v>
      </c>
    </row>
    <row r="191" spans="1:7" x14ac:dyDescent="0.35">
      <c r="A191" s="5" t="s">
        <v>210</v>
      </c>
      <c r="B191" s="2">
        <v>45677</v>
      </c>
      <c r="C191" s="1" t="s">
        <v>29</v>
      </c>
      <c r="D191" s="1" t="s">
        <v>17</v>
      </c>
      <c r="E191" s="1" t="s">
        <v>18</v>
      </c>
      <c r="F191" s="1">
        <v>10</v>
      </c>
      <c r="G191" s="6">
        <v>564</v>
      </c>
    </row>
    <row r="192" spans="1:7" x14ac:dyDescent="0.35">
      <c r="A192" s="5" t="s">
        <v>211</v>
      </c>
      <c r="B192" s="2">
        <v>45701</v>
      </c>
      <c r="C192" s="1" t="s">
        <v>25</v>
      </c>
      <c r="D192" s="1" t="s">
        <v>27</v>
      </c>
      <c r="E192" s="1" t="s">
        <v>18</v>
      </c>
      <c r="F192" s="1">
        <v>10</v>
      </c>
      <c r="G192" s="6">
        <v>580</v>
      </c>
    </row>
    <row r="193" spans="1:7" x14ac:dyDescent="0.35">
      <c r="A193" s="5" t="s">
        <v>212</v>
      </c>
      <c r="B193" s="2">
        <v>45691</v>
      </c>
      <c r="C193" s="1" t="s">
        <v>29</v>
      </c>
      <c r="D193" s="1" t="s">
        <v>32</v>
      </c>
      <c r="E193" s="1" t="s">
        <v>18</v>
      </c>
      <c r="F193" s="1">
        <v>4</v>
      </c>
      <c r="G193" s="6">
        <v>693</v>
      </c>
    </row>
    <row r="194" spans="1:7" x14ac:dyDescent="0.35">
      <c r="A194" s="5" t="s">
        <v>213</v>
      </c>
      <c r="B194" s="2">
        <v>45707</v>
      </c>
      <c r="C194" s="1" t="s">
        <v>25</v>
      </c>
      <c r="D194" s="1" t="s">
        <v>9</v>
      </c>
      <c r="E194" s="1" t="s">
        <v>10</v>
      </c>
      <c r="F194" s="1">
        <v>7</v>
      </c>
      <c r="G194" s="6">
        <v>233</v>
      </c>
    </row>
    <row r="195" spans="1:7" x14ac:dyDescent="0.35">
      <c r="A195" s="5" t="s">
        <v>214</v>
      </c>
      <c r="B195" s="2">
        <v>45669</v>
      </c>
      <c r="C195" s="1" t="s">
        <v>8</v>
      </c>
      <c r="D195" s="1" t="s">
        <v>30</v>
      </c>
      <c r="E195" s="1" t="s">
        <v>18</v>
      </c>
      <c r="F195" s="1">
        <v>2</v>
      </c>
      <c r="G195" s="6">
        <v>655</v>
      </c>
    </row>
    <row r="196" spans="1:7" x14ac:dyDescent="0.35">
      <c r="A196" s="5" t="s">
        <v>215</v>
      </c>
      <c r="B196" s="2">
        <v>45665</v>
      </c>
      <c r="C196" s="1" t="s">
        <v>29</v>
      </c>
      <c r="D196" s="1" t="s">
        <v>30</v>
      </c>
      <c r="E196" s="1" t="s">
        <v>18</v>
      </c>
      <c r="F196" s="1">
        <v>5</v>
      </c>
      <c r="G196" s="6">
        <v>408</v>
      </c>
    </row>
    <row r="197" spans="1:7" x14ac:dyDescent="0.35">
      <c r="A197" s="5" t="s">
        <v>216</v>
      </c>
      <c r="B197" s="2">
        <v>45679</v>
      </c>
      <c r="C197" s="1" t="s">
        <v>29</v>
      </c>
      <c r="D197" s="1" t="s">
        <v>32</v>
      </c>
      <c r="E197" s="1" t="s">
        <v>18</v>
      </c>
      <c r="F197" s="1">
        <v>10</v>
      </c>
      <c r="G197" s="6">
        <v>49</v>
      </c>
    </row>
    <row r="198" spans="1:7" x14ac:dyDescent="0.35">
      <c r="A198" s="5" t="s">
        <v>217</v>
      </c>
      <c r="B198" s="2">
        <v>45672</v>
      </c>
      <c r="C198" s="1" t="s">
        <v>8</v>
      </c>
      <c r="D198" s="1" t="s">
        <v>23</v>
      </c>
      <c r="E198" s="1" t="s">
        <v>10</v>
      </c>
      <c r="F198" s="1">
        <v>6</v>
      </c>
      <c r="G198" s="6">
        <v>125</v>
      </c>
    </row>
    <row r="199" spans="1:7" x14ac:dyDescent="0.35">
      <c r="A199" s="5" t="s">
        <v>218</v>
      </c>
      <c r="B199" s="2">
        <v>45699</v>
      </c>
      <c r="C199" s="1" t="s">
        <v>8</v>
      </c>
      <c r="D199" s="1" t="s">
        <v>9</v>
      </c>
      <c r="E199" s="1" t="s">
        <v>10</v>
      </c>
      <c r="F199" s="1">
        <v>4</v>
      </c>
      <c r="G199" s="6">
        <v>363</v>
      </c>
    </row>
    <row r="200" spans="1:7" x14ac:dyDescent="0.35">
      <c r="A200" s="5" t="s">
        <v>219</v>
      </c>
      <c r="B200" s="2">
        <v>45680</v>
      </c>
      <c r="C200" s="1" t="s">
        <v>12</v>
      </c>
      <c r="D200" s="1" t="s">
        <v>23</v>
      </c>
      <c r="E200" s="1" t="s">
        <v>10</v>
      </c>
      <c r="F200" s="1">
        <v>5</v>
      </c>
      <c r="G200" s="6">
        <v>611</v>
      </c>
    </row>
    <row r="201" spans="1:7" x14ac:dyDescent="0.35">
      <c r="A201" s="7" t="s">
        <v>220</v>
      </c>
      <c r="B201" s="8">
        <v>45658</v>
      </c>
      <c r="C201" s="9" t="s">
        <v>25</v>
      </c>
      <c r="D201" s="9" t="s">
        <v>30</v>
      </c>
      <c r="E201" s="9" t="s">
        <v>18</v>
      </c>
      <c r="F201" s="9">
        <v>2</v>
      </c>
      <c r="G201" s="10">
        <v>636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435AB-4171-4C0C-8018-3EAF52EB6091}">
  <dimension ref="A1:K204"/>
  <sheetViews>
    <sheetView tabSelected="1" workbookViewId="0">
      <selection activeCell="N8" sqref="N8"/>
    </sheetView>
  </sheetViews>
  <sheetFormatPr defaultRowHeight="14.5" x14ac:dyDescent="0.35"/>
  <cols>
    <col min="1" max="1" width="13.54296875" customWidth="1"/>
    <col min="2" max="4" width="14.54296875" bestFit="1" customWidth="1"/>
    <col min="5" max="5" width="8.7265625" bestFit="1" customWidth="1"/>
    <col min="6" max="6" width="9.7265625" bestFit="1" customWidth="1"/>
    <col min="7" max="7" width="10.54296875" bestFit="1" customWidth="1"/>
    <col min="8" max="8" width="10.453125" customWidth="1"/>
    <col min="9" max="9" width="11.7265625" bestFit="1" customWidth="1"/>
    <col min="10" max="10" width="12.6328125" customWidth="1"/>
    <col min="11" max="11" width="15.6328125" bestFit="1" customWidth="1"/>
  </cols>
  <sheetData>
    <row r="1" spans="1:11" x14ac:dyDescent="0.35">
      <c r="A1" s="52" t="s">
        <v>259</v>
      </c>
      <c r="B1" s="53"/>
      <c r="C1" s="53"/>
      <c r="D1" s="53"/>
      <c r="E1" s="53"/>
      <c r="F1" s="54"/>
    </row>
    <row r="2" spans="1:11" ht="15" thickBot="1" x14ac:dyDescent="0.4">
      <c r="A2" s="55"/>
      <c r="B2" s="56"/>
      <c r="C2" s="56"/>
      <c r="D2" s="56"/>
      <c r="E2" s="56"/>
      <c r="F2" s="57"/>
    </row>
    <row r="4" spans="1:11" x14ac:dyDescent="0.35">
      <c r="A4" s="45" t="s">
        <v>0</v>
      </c>
      <c r="B4" s="46" t="s">
        <v>1</v>
      </c>
      <c r="C4" s="46" t="s">
        <v>243</v>
      </c>
      <c r="D4" s="46" t="s">
        <v>244</v>
      </c>
      <c r="E4" s="46" t="s">
        <v>245</v>
      </c>
      <c r="F4" s="46" t="s">
        <v>2</v>
      </c>
      <c r="G4" s="46" t="s">
        <v>3</v>
      </c>
      <c r="H4" s="46" t="s">
        <v>4</v>
      </c>
      <c r="I4" s="46" t="s">
        <v>5</v>
      </c>
      <c r="J4" s="46" t="s">
        <v>6</v>
      </c>
      <c r="K4" s="47" t="s">
        <v>246</v>
      </c>
    </row>
    <row r="5" spans="1:11" x14ac:dyDescent="0.35">
      <c r="A5" s="5" t="s">
        <v>208</v>
      </c>
      <c r="B5" s="48">
        <f>DATE(Table1__2[[#This Row],[Year]],Table1__2[[#This Row],[Month]],Table1__2[[#This Row],[Day]])</f>
        <v>45689</v>
      </c>
      <c r="C5" s="1">
        <v>1</v>
      </c>
      <c r="D5" s="1">
        <v>2</v>
      </c>
      <c r="E5" s="1">
        <v>2025</v>
      </c>
      <c r="F5" s="1" t="s">
        <v>12</v>
      </c>
      <c r="G5" s="1" t="s">
        <v>13</v>
      </c>
      <c r="H5" s="1" t="s">
        <v>14</v>
      </c>
      <c r="I5" s="1">
        <v>10</v>
      </c>
      <c r="J5" s="1">
        <v>890</v>
      </c>
      <c r="K5" s="6">
        <f>Table1__2[[#This Row],[Quantity]]*Table1__2[[#This Row],[Unit_Price]]</f>
        <v>8900</v>
      </c>
    </row>
    <row r="6" spans="1:11" x14ac:dyDescent="0.35">
      <c r="A6" s="5" t="s">
        <v>62</v>
      </c>
      <c r="B6" s="48">
        <f>DATE(Table1__2[[#This Row],[Year]],Table1__2[[#This Row],[Month]],Table1__2[[#This Row],[Day]])</f>
        <v>45710</v>
      </c>
      <c r="C6" s="1">
        <v>22</v>
      </c>
      <c r="D6" s="1">
        <v>2</v>
      </c>
      <c r="E6" s="1">
        <v>2025</v>
      </c>
      <c r="F6" s="1" t="s">
        <v>25</v>
      </c>
      <c r="G6" s="1" t="s">
        <v>9</v>
      </c>
      <c r="H6" s="1" t="s">
        <v>10</v>
      </c>
      <c r="I6" s="1">
        <v>10</v>
      </c>
      <c r="J6" s="1">
        <v>806</v>
      </c>
      <c r="K6" s="6">
        <f>Table1__2[[#This Row],[Quantity]]*Table1__2[[#This Row],[Unit_Price]]</f>
        <v>8060</v>
      </c>
    </row>
    <row r="7" spans="1:11" x14ac:dyDescent="0.35">
      <c r="A7" s="5" t="s">
        <v>15</v>
      </c>
      <c r="B7" s="48">
        <f>DATE(Table1__2[[#This Row],[Year]],Table1__2[[#This Row],[Month]],Table1__2[[#This Row],[Day]])</f>
        <v>45701</v>
      </c>
      <c r="C7" s="1">
        <v>13</v>
      </c>
      <c r="D7" s="1">
        <v>2</v>
      </c>
      <c r="E7" s="1">
        <v>2025</v>
      </c>
      <c r="F7" s="1" t="s">
        <v>8</v>
      </c>
      <c r="G7" s="1" t="s">
        <v>9</v>
      </c>
      <c r="H7" s="1" t="s">
        <v>10</v>
      </c>
      <c r="I7" s="1">
        <v>10</v>
      </c>
      <c r="J7" s="1">
        <v>786</v>
      </c>
      <c r="K7" s="6">
        <f>Table1__2[[#This Row],[Quantity]]*Table1__2[[#This Row],[Unit_Price]]</f>
        <v>7860</v>
      </c>
    </row>
    <row r="8" spans="1:11" x14ac:dyDescent="0.35">
      <c r="A8" s="5" t="s">
        <v>137</v>
      </c>
      <c r="B8" s="48">
        <f>DATE(Table1__2[[#This Row],[Year]],Table1__2[[#This Row],[Month]],Table1__2[[#This Row],[Day]])</f>
        <v>45704</v>
      </c>
      <c r="C8" s="1">
        <v>16</v>
      </c>
      <c r="D8" s="1">
        <v>2</v>
      </c>
      <c r="E8" s="1">
        <v>2025</v>
      </c>
      <c r="F8" s="1" t="s">
        <v>12</v>
      </c>
      <c r="G8" s="1" t="s">
        <v>32</v>
      </c>
      <c r="H8" s="1" t="s">
        <v>18</v>
      </c>
      <c r="I8" s="1">
        <v>9</v>
      </c>
      <c r="J8" s="1">
        <v>863</v>
      </c>
      <c r="K8" s="6">
        <f>Table1__2[[#This Row],[Quantity]]*Table1__2[[#This Row],[Unit_Price]]</f>
        <v>7767</v>
      </c>
    </row>
    <row r="9" spans="1:11" x14ac:dyDescent="0.35">
      <c r="A9" s="5" t="s">
        <v>130</v>
      </c>
      <c r="B9" s="48">
        <f>DATE(Table1__2[[#This Row],[Year]],Table1__2[[#This Row],[Month]],Table1__2[[#This Row],[Day]])</f>
        <v>45689</v>
      </c>
      <c r="C9" s="1">
        <v>1</v>
      </c>
      <c r="D9" s="1">
        <v>2</v>
      </c>
      <c r="E9" s="1">
        <v>2025</v>
      </c>
      <c r="F9" s="1" t="s">
        <v>29</v>
      </c>
      <c r="G9" s="1" t="s">
        <v>30</v>
      </c>
      <c r="H9" s="1" t="s">
        <v>18</v>
      </c>
      <c r="I9" s="1">
        <v>9</v>
      </c>
      <c r="J9" s="1">
        <v>809</v>
      </c>
      <c r="K9" s="6">
        <f>Table1__2[[#This Row],[Quantity]]*Table1__2[[#This Row],[Unit_Price]]</f>
        <v>7281</v>
      </c>
    </row>
    <row r="10" spans="1:11" x14ac:dyDescent="0.35">
      <c r="A10" s="5" t="s">
        <v>104</v>
      </c>
      <c r="B10" s="48">
        <f>DATE(Table1__2[[#This Row],[Year]],Table1__2[[#This Row],[Month]],Table1__2[[#This Row],[Day]])</f>
        <v>45680</v>
      </c>
      <c r="C10" s="1">
        <v>23</v>
      </c>
      <c r="D10" s="1">
        <v>1</v>
      </c>
      <c r="E10" s="1">
        <v>2025</v>
      </c>
      <c r="F10" s="1" t="s">
        <v>8</v>
      </c>
      <c r="G10" s="1" t="s">
        <v>17</v>
      </c>
      <c r="H10" s="1" t="s">
        <v>18</v>
      </c>
      <c r="I10" s="1">
        <v>10</v>
      </c>
      <c r="J10" s="1">
        <v>724</v>
      </c>
      <c r="K10" s="6">
        <f>Table1__2[[#This Row],[Quantity]]*Table1__2[[#This Row],[Unit_Price]]</f>
        <v>7240</v>
      </c>
    </row>
    <row r="11" spans="1:11" x14ac:dyDescent="0.35">
      <c r="A11" s="5" t="s">
        <v>109</v>
      </c>
      <c r="B11" s="48">
        <f>DATE(Table1__2[[#This Row],[Year]],Table1__2[[#This Row],[Month]],Table1__2[[#This Row],[Day]])</f>
        <v>45702</v>
      </c>
      <c r="C11" s="1">
        <v>14</v>
      </c>
      <c r="D11" s="1">
        <v>2</v>
      </c>
      <c r="E11" s="1">
        <v>2025</v>
      </c>
      <c r="F11" s="1" t="s">
        <v>25</v>
      </c>
      <c r="G11" s="1" t="s">
        <v>30</v>
      </c>
      <c r="H11" s="1" t="s">
        <v>18</v>
      </c>
      <c r="I11" s="1">
        <v>8</v>
      </c>
      <c r="J11" s="1">
        <v>899</v>
      </c>
      <c r="K11" s="6">
        <f>Table1__2[[#This Row],[Quantity]]*Table1__2[[#This Row],[Unit_Price]]</f>
        <v>7192</v>
      </c>
    </row>
    <row r="12" spans="1:11" x14ac:dyDescent="0.35">
      <c r="A12" s="5" t="s">
        <v>141</v>
      </c>
      <c r="B12" s="48">
        <f>DATE(Table1__2[[#This Row],[Year]],Table1__2[[#This Row],[Month]],Table1__2[[#This Row],[Day]])</f>
        <v>45680</v>
      </c>
      <c r="C12" s="1">
        <v>23</v>
      </c>
      <c r="D12" s="1">
        <v>1</v>
      </c>
      <c r="E12" s="1">
        <v>2025</v>
      </c>
      <c r="F12" s="1" t="s">
        <v>25</v>
      </c>
      <c r="G12" s="1" t="s">
        <v>27</v>
      </c>
      <c r="H12" s="1" t="s">
        <v>18</v>
      </c>
      <c r="I12" s="1">
        <v>10</v>
      </c>
      <c r="J12" s="1">
        <v>713</v>
      </c>
      <c r="K12" s="6">
        <f>Table1__2[[#This Row],[Quantity]]*Table1__2[[#This Row],[Unit_Price]]</f>
        <v>7130</v>
      </c>
    </row>
    <row r="13" spans="1:11" x14ac:dyDescent="0.35">
      <c r="A13" s="5" t="s">
        <v>41</v>
      </c>
      <c r="B13" s="48">
        <f>DATE(Table1__2[[#This Row],[Year]],Table1__2[[#This Row],[Month]],Table1__2[[#This Row],[Day]])</f>
        <v>45715</v>
      </c>
      <c r="C13" s="1">
        <v>27</v>
      </c>
      <c r="D13" s="1">
        <v>2</v>
      </c>
      <c r="E13" s="1">
        <v>2025</v>
      </c>
      <c r="F13" s="1" t="s">
        <v>8</v>
      </c>
      <c r="G13" s="1" t="s">
        <v>23</v>
      </c>
      <c r="H13" s="1" t="s">
        <v>10</v>
      </c>
      <c r="I13" s="1">
        <v>10</v>
      </c>
      <c r="J13" s="1">
        <v>710</v>
      </c>
      <c r="K13" s="6">
        <f>Table1__2[[#This Row],[Quantity]]*Table1__2[[#This Row],[Unit_Price]]</f>
        <v>7100</v>
      </c>
    </row>
    <row r="14" spans="1:11" x14ac:dyDescent="0.35">
      <c r="A14" s="5" t="s">
        <v>71</v>
      </c>
      <c r="B14" s="48">
        <f>DATE(Table1__2[[#This Row],[Year]],Table1__2[[#This Row],[Month]],Table1__2[[#This Row],[Day]])</f>
        <v>45694</v>
      </c>
      <c r="C14" s="1">
        <v>6</v>
      </c>
      <c r="D14" s="1">
        <v>2</v>
      </c>
      <c r="E14" s="1">
        <v>2025</v>
      </c>
      <c r="F14" s="1" t="s">
        <v>8</v>
      </c>
      <c r="G14" s="1" t="s">
        <v>9</v>
      </c>
      <c r="H14" s="1" t="s">
        <v>10</v>
      </c>
      <c r="I14" s="1">
        <v>8</v>
      </c>
      <c r="J14" s="1">
        <v>878</v>
      </c>
      <c r="K14" s="6">
        <f>Table1__2[[#This Row],[Quantity]]*Table1__2[[#This Row],[Unit_Price]]</f>
        <v>7024</v>
      </c>
    </row>
    <row r="15" spans="1:11" x14ac:dyDescent="0.35">
      <c r="A15" s="5" t="s">
        <v>127</v>
      </c>
      <c r="B15" s="48">
        <f>DATE(Table1__2[[#This Row],[Year]],Table1__2[[#This Row],[Month]],Table1__2[[#This Row],[Day]])</f>
        <v>45691</v>
      </c>
      <c r="C15" s="1">
        <v>3</v>
      </c>
      <c r="D15" s="1">
        <v>2</v>
      </c>
      <c r="E15" s="1">
        <v>2025</v>
      </c>
      <c r="F15" s="1" t="s">
        <v>25</v>
      </c>
      <c r="G15" s="1" t="s">
        <v>30</v>
      </c>
      <c r="H15" s="1" t="s">
        <v>18</v>
      </c>
      <c r="I15" s="1">
        <v>8</v>
      </c>
      <c r="J15" s="1">
        <v>873</v>
      </c>
      <c r="K15" s="6">
        <f>Table1__2[[#This Row],[Quantity]]*Table1__2[[#This Row],[Unit_Price]]</f>
        <v>6984</v>
      </c>
    </row>
    <row r="16" spans="1:11" x14ac:dyDescent="0.35">
      <c r="A16" s="5" t="s">
        <v>83</v>
      </c>
      <c r="B16" s="48">
        <f>DATE(Table1__2[[#This Row],[Year]],Table1__2[[#This Row],[Month]],Table1__2[[#This Row],[Day]])</f>
        <v>45704</v>
      </c>
      <c r="C16" s="1">
        <v>16</v>
      </c>
      <c r="D16" s="1">
        <v>2</v>
      </c>
      <c r="E16" s="1">
        <v>2025</v>
      </c>
      <c r="F16" s="1" t="s">
        <v>8</v>
      </c>
      <c r="G16" s="1" t="s">
        <v>27</v>
      </c>
      <c r="H16" s="1" t="s">
        <v>18</v>
      </c>
      <c r="I16" s="1">
        <v>8</v>
      </c>
      <c r="J16" s="1">
        <v>840</v>
      </c>
      <c r="K16" s="6">
        <f>Table1__2[[#This Row],[Quantity]]*Table1__2[[#This Row],[Unit_Price]]</f>
        <v>6720</v>
      </c>
    </row>
    <row r="17" spans="1:11" x14ac:dyDescent="0.35">
      <c r="A17" s="5" t="s">
        <v>42</v>
      </c>
      <c r="B17" s="48">
        <f>DATE(Table1__2[[#This Row],[Year]],Table1__2[[#This Row],[Month]],Table1__2[[#This Row],[Day]])</f>
        <v>45676</v>
      </c>
      <c r="C17" s="1">
        <v>19</v>
      </c>
      <c r="D17" s="1">
        <v>1</v>
      </c>
      <c r="E17" s="1">
        <v>2025</v>
      </c>
      <c r="F17" s="1" t="s">
        <v>29</v>
      </c>
      <c r="G17" s="1" t="s">
        <v>13</v>
      </c>
      <c r="H17" s="1" t="s">
        <v>14</v>
      </c>
      <c r="I17" s="1">
        <v>7</v>
      </c>
      <c r="J17" s="1">
        <v>896</v>
      </c>
      <c r="K17" s="6">
        <f>Table1__2[[#This Row],[Quantity]]*Table1__2[[#This Row],[Unit_Price]]</f>
        <v>6272</v>
      </c>
    </row>
    <row r="18" spans="1:11" x14ac:dyDescent="0.35">
      <c r="A18" s="5" t="s">
        <v>164</v>
      </c>
      <c r="B18" s="48">
        <f>DATE(Table1__2[[#This Row],[Year]],Table1__2[[#This Row],[Month]],Table1__2[[#This Row],[Day]])</f>
        <v>45701</v>
      </c>
      <c r="C18" s="1">
        <v>13</v>
      </c>
      <c r="D18" s="1">
        <v>2</v>
      </c>
      <c r="E18" s="1">
        <v>2025</v>
      </c>
      <c r="F18" s="1" t="s">
        <v>25</v>
      </c>
      <c r="G18" s="1" t="s">
        <v>27</v>
      </c>
      <c r="H18" s="1" t="s">
        <v>18</v>
      </c>
      <c r="I18" s="1">
        <v>7</v>
      </c>
      <c r="J18" s="1">
        <v>851</v>
      </c>
      <c r="K18" s="6">
        <f>Table1__2[[#This Row],[Quantity]]*Table1__2[[#This Row],[Unit_Price]]</f>
        <v>5957</v>
      </c>
    </row>
    <row r="19" spans="1:11" x14ac:dyDescent="0.35">
      <c r="A19" s="5" t="s">
        <v>181</v>
      </c>
      <c r="B19" s="48">
        <f>DATE(Table1__2[[#This Row],[Year]],Table1__2[[#This Row],[Month]],Table1__2[[#This Row],[Day]])</f>
        <v>45710</v>
      </c>
      <c r="C19" s="1">
        <v>22</v>
      </c>
      <c r="D19" s="1">
        <v>2</v>
      </c>
      <c r="E19" s="1">
        <v>2025</v>
      </c>
      <c r="F19" s="1" t="s">
        <v>12</v>
      </c>
      <c r="G19" s="1" t="s">
        <v>13</v>
      </c>
      <c r="H19" s="1" t="s">
        <v>14</v>
      </c>
      <c r="I19" s="1">
        <v>10</v>
      </c>
      <c r="J19" s="1">
        <v>594</v>
      </c>
      <c r="K19" s="6">
        <f>Table1__2[[#This Row],[Quantity]]*Table1__2[[#This Row],[Unit_Price]]</f>
        <v>5940</v>
      </c>
    </row>
    <row r="20" spans="1:11" x14ac:dyDescent="0.35">
      <c r="A20" s="5" t="s">
        <v>211</v>
      </c>
      <c r="B20" s="48">
        <f>DATE(Table1__2[[#This Row],[Year]],Table1__2[[#This Row],[Month]],Table1__2[[#This Row],[Day]])</f>
        <v>45701</v>
      </c>
      <c r="C20" s="1">
        <v>13</v>
      </c>
      <c r="D20" s="1">
        <v>2</v>
      </c>
      <c r="E20" s="1">
        <v>2025</v>
      </c>
      <c r="F20" s="1" t="s">
        <v>25</v>
      </c>
      <c r="G20" s="1" t="s">
        <v>27</v>
      </c>
      <c r="H20" s="1" t="s">
        <v>18</v>
      </c>
      <c r="I20" s="1">
        <v>10</v>
      </c>
      <c r="J20" s="1">
        <v>580</v>
      </c>
      <c r="K20" s="6">
        <f>Table1__2[[#This Row],[Quantity]]*Table1__2[[#This Row],[Unit_Price]]</f>
        <v>5800</v>
      </c>
    </row>
    <row r="21" spans="1:11" x14ac:dyDescent="0.35">
      <c r="A21" s="5" t="s">
        <v>210</v>
      </c>
      <c r="B21" s="48">
        <f>DATE(Table1__2[[#This Row],[Year]],Table1__2[[#This Row],[Month]],Table1__2[[#This Row],[Day]])</f>
        <v>45677</v>
      </c>
      <c r="C21" s="1">
        <v>20</v>
      </c>
      <c r="D21" s="1">
        <v>1</v>
      </c>
      <c r="E21" s="1">
        <v>2025</v>
      </c>
      <c r="F21" s="1" t="s">
        <v>29</v>
      </c>
      <c r="G21" s="1" t="s">
        <v>17</v>
      </c>
      <c r="H21" s="1" t="s">
        <v>18</v>
      </c>
      <c r="I21" s="1">
        <v>10</v>
      </c>
      <c r="J21" s="1">
        <v>564</v>
      </c>
      <c r="K21" s="6">
        <f>Table1__2[[#This Row],[Quantity]]*Table1__2[[#This Row],[Unit_Price]]</f>
        <v>5640</v>
      </c>
    </row>
    <row r="22" spans="1:11" x14ac:dyDescent="0.35">
      <c r="A22" s="5" t="s">
        <v>184</v>
      </c>
      <c r="B22" s="48">
        <f>DATE(Table1__2[[#This Row],[Year]],Table1__2[[#This Row],[Month]],Table1__2[[#This Row],[Day]])</f>
        <v>45675</v>
      </c>
      <c r="C22" s="1">
        <v>18</v>
      </c>
      <c r="D22" s="1">
        <v>1</v>
      </c>
      <c r="E22" s="1">
        <v>2025</v>
      </c>
      <c r="F22" s="1" t="s">
        <v>12</v>
      </c>
      <c r="G22" s="1" t="s">
        <v>27</v>
      </c>
      <c r="H22" s="1" t="s">
        <v>18</v>
      </c>
      <c r="I22" s="1">
        <v>8</v>
      </c>
      <c r="J22" s="1">
        <v>692</v>
      </c>
      <c r="K22" s="6">
        <f>Table1__2[[#This Row],[Quantity]]*Table1__2[[#This Row],[Unit_Price]]</f>
        <v>5536</v>
      </c>
    </row>
    <row r="23" spans="1:11" x14ac:dyDescent="0.35">
      <c r="A23" s="5" t="s">
        <v>82</v>
      </c>
      <c r="B23" s="48">
        <f>DATE(Table1__2[[#This Row],[Year]],Table1__2[[#This Row],[Month]],Table1__2[[#This Row],[Day]])</f>
        <v>45663</v>
      </c>
      <c r="C23" s="1">
        <v>6</v>
      </c>
      <c r="D23" s="1">
        <v>1</v>
      </c>
      <c r="E23" s="1">
        <v>2025</v>
      </c>
      <c r="F23" s="1" t="s">
        <v>12</v>
      </c>
      <c r="G23" s="1" t="s">
        <v>13</v>
      </c>
      <c r="H23" s="1" t="s">
        <v>14</v>
      </c>
      <c r="I23" s="1">
        <v>7</v>
      </c>
      <c r="J23" s="1">
        <v>790</v>
      </c>
      <c r="K23" s="6">
        <f>Table1__2[[#This Row],[Quantity]]*Table1__2[[#This Row],[Unit_Price]]</f>
        <v>5530</v>
      </c>
    </row>
    <row r="24" spans="1:11" x14ac:dyDescent="0.35">
      <c r="A24" s="5" t="s">
        <v>45</v>
      </c>
      <c r="B24" s="48">
        <f>DATE(Table1__2[[#This Row],[Year]],Table1__2[[#This Row],[Month]],Table1__2[[#This Row],[Day]])</f>
        <v>45680</v>
      </c>
      <c r="C24" s="1">
        <v>23</v>
      </c>
      <c r="D24" s="1">
        <v>1</v>
      </c>
      <c r="E24" s="1">
        <v>2025</v>
      </c>
      <c r="F24" s="1" t="s">
        <v>29</v>
      </c>
      <c r="G24" s="1" t="s">
        <v>13</v>
      </c>
      <c r="H24" s="1" t="s">
        <v>14</v>
      </c>
      <c r="I24" s="1">
        <v>9</v>
      </c>
      <c r="J24" s="1">
        <v>587</v>
      </c>
      <c r="K24" s="6">
        <f>Table1__2[[#This Row],[Quantity]]*Table1__2[[#This Row],[Unit_Price]]</f>
        <v>5283</v>
      </c>
    </row>
    <row r="25" spans="1:11" x14ac:dyDescent="0.35">
      <c r="A25" s="5" t="s">
        <v>98</v>
      </c>
      <c r="B25" s="48">
        <f>DATE(Table1__2[[#This Row],[Year]],Table1__2[[#This Row],[Month]],Table1__2[[#This Row],[Day]])</f>
        <v>45667</v>
      </c>
      <c r="C25" s="1">
        <v>10</v>
      </c>
      <c r="D25" s="1">
        <v>1</v>
      </c>
      <c r="E25" s="1">
        <v>2025</v>
      </c>
      <c r="F25" s="1" t="s">
        <v>8</v>
      </c>
      <c r="G25" s="1" t="s">
        <v>9</v>
      </c>
      <c r="H25" s="1" t="s">
        <v>10</v>
      </c>
      <c r="I25" s="1">
        <v>6</v>
      </c>
      <c r="J25" s="1">
        <v>855</v>
      </c>
      <c r="K25" s="6">
        <f>Table1__2[[#This Row],[Quantity]]*Table1__2[[#This Row],[Unit_Price]]</f>
        <v>5130</v>
      </c>
    </row>
    <row r="26" spans="1:11" x14ac:dyDescent="0.35">
      <c r="A26" s="5" t="s">
        <v>180</v>
      </c>
      <c r="B26" s="48">
        <f>DATE(Table1__2[[#This Row],[Year]],Table1__2[[#This Row],[Month]],Table1__2[[#This Row],[Day]])</f>
        <v>45705</v>
      </c>
      <c r="C26" s="1">
        <v>17</v>
      </c>
      <c r="D26" s="1">
        <v>2</v>
      </c>
      <c r="E26" s="1">
        <v>2025</v>
      </c>
      <c r="F26" s="1" t="s">
        <v>29</v>
      </c>
      <c r="G26" s="1" t="s">
        <v>30</v>
      </c>
      <c r="H26" s="1" t="s">
        <v>18</v>
      </c>
      <c r="I26" s="1">
        <v>6</v>
      </c>
      <c r="J26" s="1">
        <v>852</v>
      </c>
      <c r="K26" s="6">
        <f>Table1__2[[#This Row],[Quantity]]*Table1__2[[#This Row],[Unit_Price]]</f>
        <v>5112</v>
      </c>
    </row>
    <row r="27" spans="1:11" x14ac:dyDescent="0.35">
      <c r="A27" s="5" t="s">
        <v>174</v>
      </c>
      <c r="B27" s="48">
        <f>DATE(Table1__2[[#This Row],[Year]],Table1__2[[#This Row],[Month]],Table1__2[[#This Row],[Day]])</f>
        <v>45684</v>
      </c>
      <c r="C27" s="1">
        <v>27</v>
      </c>
      <c r="D27" s="1">
        <v>1</v>
      </c>
      <c r="E27" s="1">
        <v>2025</v>
      </c>
      <c r="F27" s="1" t="s">
        <v>29</v>
      </c>
      <c r="G27" s="1" t="s">
        <v>9</v>
      </c>
      <c r="H27" s="1" t="s">
        <v>10</v>
      </c>
      <c r="I27" s="1">
        <v>7</v>
      </c>
      <c r="J27" s="1">
        <v>719</v>
      </c>
      <c r="K27" s="6">
        <f>Table1__2[[#This Row],[Quantity]]*Table1__2[[#This Row],[Unit_Price]]</f>
        <v>5033</v>
      </c>
    </row>
    <row r="28" spans="1:11" x14ac:dyDescent="0.35">
      <c r="A28" s="5" t="s">
        <v>177</v>
      </c>
      <c r="B28" s="48">
        <f>DATE(Table1__2[[#This Row],[Year]],Table1__2[[#This Row],[Month]],Table1__2[[#This Row],[Day]])</f>
        <v>45666</v>
      </c>
      <c r="C28" s="1">
        <v>9</v>
      </c>
      <c r="D28" s="1">
        <v>1</v>
      </c>
      <c r="E28" s="1">
        <v>2025</v>
      </c>
      <c r="F28" s="1" t="s">
        <v>29</v>
      </c>
      <c r="G28" s="1" t="s">
        <v>23</v>
      </c>
      <c r="H28" s="1" t="s">
        <v>10</v>
      </c>
      <c r="I28" s="1">
        <v>7</v>
      </c>
      <c r="J28" s="1">
        <v>717</v>
      </c>
      <c r="K28" s="6">
        <f>Table1__2[[#This Row],[Quantity]]*Table1__2[[#This Row],[Unit_Price]]</f>
        <v>5019</v>
      </c>
    </row>
    <row r="29" spans="1:11" x14ac:dyDescent="0.35">
      <c r="A29" s="5" t="s">
        <v>128</v>
      </c>
      <c r="B29" s="48">
        <f>DATE(Table1__2[[#This Row],[Year]],Table1__2[[#This Row],[Month]],Table1__2[[#This Row],[Day]])</f>
        <v>45679</v>
      </c>
      <c r="C29" s="1">
        <v>22</v>
      </c>
      <c r="D29" s="1">
        <v>1</v>
      </c>
      <c r="E29" s="1">
        <v>2025</v>
      </c>
      <c r="F29" s="1" t="s">
        <v>12</v>
      </c>
      <c r="G29" s="1" t="s">
        <v>13</v>
      </c>
      <c r="H29" s="1" t="s">
        <v>14</v>
      </c>
      <c r="I29" s="1">
        <v>8</v>
      </c>
      <c r="J29" s="1">
        <v>619</v>
      </c>
      <c r="K29" s="6">
        <f>Table1__2[[#This Row],[Quantity]]*Table1__2[[#This Row],[Unit_Price]]</f>
        <v>4952</v>
      </c>
    </row>
    <row r="30" spans="1:11" x14ac:dyDescent="0.35">
      <c r="A30" s="5" t="s">
        <v>115</v>
      </c>
      <c r="B30" s="48">
        <f>DATE(Table1__2[[#This Row],[Year]],Table1__2[[#This Row],[Month]],Table1__2[[#This Row],[Day]])</f>
        <v>45706</v>
      </c>
      <c r="C30" s="1">
        <v>18</v>
      </c>
      <c r="D30" s="1">
        <v>2</v>
      </c>
      <c r="E30" s="1">
        <v>2025</v>
      </c>
      <c r="F30" s="1" t="s">
        <v>12</v>
      </c>
      <c r="G30" s="1" t="s">
        <v>13</v>
      </c>
      <c r="H30" s="1" t="s">
        <v>14</v>
      </c>
      <c r="I30" s="1">
        <v>6</v>
      </c>
      <c r="J30" s="1">
        <v>810</v>
      </c>
      <c r="K30" s="6">
        <f>Table1__2[[#This Row],[Quantity]]*Table1__2[[#This Row],[Unit_Price]]</f>
        <v>4860</v>
      </c>
    </row>
    <row r="31" spans="1:11" x14ac:dyDescent="0.35">
      <c r="A31" s="5" t="s">
        <v>183</v>
      </c>
      <c r="B31" s="48">
        <f>DATE(Table1__2[[#This Row],[Year]],Table1__2[[#This Row],[Month]],Table1__2[[#This Row],[Day]])</f>
        <v>45675</v>
      </c>
      <c r="C31" s="1">
        <v>18</v>
      </c>
      <c r="D31" s="1">
        <v>1</v>
      </c>
      <c r="E31" s="1">
        <v>2025</v>
      </c>
      <c r="F31" s="1" t="s">
        <v>12</v>
      </c>
      <c r="G31" s="1" t="s">
        <v>9</v>
      </c>
      <c r="H31" s="1" t="s">
        <v>10</v>
      </c>
      <c r="I31" s="1">
        <v>8</v>
      </c>
      <c r="J31" s="1">
        <v>593</v>
      </c>
      <c r="K31" s="6">
        <f>Table1__2[[#This Row],[Quantity]]*Table1__2[[#This Row],[Unit_Price]]</f>
        <v>4744</v>
      </c>
    </row>
    <row r="32" spans="1:11" x14ac:dyDescent="0.35">
      <c r="A32" s="5" t="s">
        <v>105</v>
      </c>
      <c r="B32" s="48">
        <f>DATE(Table1__2[[#This Row],[Year]],Table1__2[[#This Row],[Month]],Table1__2[[#This Row],[Day]])</f>
        <v>45669</v>
      </c>
      <c r="C32" s="1">
        <v>12</v>
      </c>
      <c r="D32" s="1">
        <v>1</v>
      </c>
      <c r="E32" s="1">
        <v>2025</v>
      </c>
      <c r="F32" s="1" t="s">
        <v>12</v>
      </c>
      <c r="G32" s="1" t="s">
        <v>30</v>
      </c>
      <c r="H32" s="1" t="s">
        <v>18</v>
      </c>
      <c r="I32" s="1">
        <v>6</v>
      </c>
      <c r="J32" s="1">
        <v>780</v>
      </c>
      <c r="K32" s="6">
        <f>Table1__2[[#This Row],[Quantity]]*Table1__2[[#This Row],[Unit_Price]]</f>
        <v>4680</v>
      </c>
    </row>
    <row r="33" spans="1:11" x14ac:dyDescent="0.35">
      <c r="A33" s="5" t="s">
        <v>55</v>
      </c>
      <c r="B33" s="48">
        <f>DATE(Table1__2[[#This Row],[Year]],Table1__2[[#This Row],[Month]],Table1__2[[#This Row],[Day]])</f>
        <v>45717</v>
      </c>
      <c r="C33" s="1">
        <v>1</v>
      </c>
      <c r="D33" s="1">
        <v>3</v>
      </c>
      <c r="E33" s="1">
        <v>2025</v>
      </c>
      <c r="F33" s="1" t="s">
        <v>29</v>
      </c>
      <c r="G33" s="1" t="s">
        <v>13</v>
      </c>
      <c r="H33" s="1" t="s">
        <v>14</v>
      </c>
      <c r="I33" s="1">
        <v>7</v>
      </c>
      <c r="J33" s="1">
        <v>636</v>
      </c>
      <c r="K33" s="6">
        <f>Table1__2[[#This Row],[Quantity]]*Table1__2[[#This Row],[Unit_Price]]</f>
        <v>4452</v>
      </c>
    </row>
    <row r="34" spans="1:11" x14ac:dyDescent="0.35">
      <c r="A34" s="5" t="s">
        <v>26</v>
      </c>
      <c r="B34" s="48">
        <f>DATE(Table1__2[[#This Row],[Year]],Table1__2[[#This Row],[Month]],Table1__2[[#This Row],[Day]])</f>
        <v>45702</v>
      </c>
      <c r="C34" s="1">
        <v>14</v>
      </c>
      <c r="D34" s="1">
        <v>2</v>
      </c>
      <c r="E34" s="1">
        <v>2025</v>
      </c>
      <c r="F34" s="1" t="s">
        <v>8</v>
      </c>
      <c r="G34" s="1" t="s">
        <v>27</v>
      </c>
      <c r="H34" s="1" t="s">
        <v>18</v>
      </c>
      <c r="I34" s="1">
        <v>6</v>
      </c>
      <c r="J34" s="1">
        <v>681</v>
      </c>
      <c r="K34" s="6">
        <f>Table1__2[[#This Row],[Quantity]]*Table1__2[[#This Row],[Unit_Price]]</f>
        <v>4086</v>
      </c>
    </row>
    <row r="35" spans="1:11" x14ac:dyDescent="0.35">
      <c r="A35" s="5" t="s">
        <v>185</v>
      </c>
      <c r="B35" s="48">
        <f>DATE(Table1__2[[#This Row],[Year]],Table1__2[[#This Row],[Month]],Table1__2[[#This Row],[Day]])</f>
        <v>45692</v>
      </c>
      <c r="C35" s="1">
        <v>4</v>
      </c>
      <c r="D35" s="1">
        <v>2</v>
      </c>
      <c r="E35" s="1">
        <v>2025</v>
      </c>
      <c r="F35" s="1" t="s">
        <v>25</v>
      </c>
      <c r="G35" s="1" t="s">
        <v>23</v>
      </c>
      <c r="H35" s="1" t="s">
        <v>10</v>
      </c>
      <c r="I35" s="1">
        <v>6</v>
      </c>
      <c r="J35" s="1">
        <v>676</v>
      </c>
      <c r="K35" s="6">
        <f>Table1__2[[#This Row],[Quantity]]*Table1__2[[#This Row],[Unit_Price]]</f>
        <v>4056</v>
      </c>
    </row>
    <row r="36" spans="1:11" x14ac:dyDescent="0.35">
      <c r="A36" s="5" t="s">
        <v>165</v>
      </c>
      <c r="B36" s="48">
        <f>DATE(Table1__2[[#This Row],[Year]],Table1__2[[#This Row],[Month]],Table1__2[[#This Row],[Day]])</f>
        <v>45699</v>
      </c>
      <c r="C36" s="1">
        <v>11</v>
      </c>
      <c r="D36" s="1">
        <v>2</v>
      </c>
      <c r="E36" s="1">
        <v>2025</v>
      </c>
      <c r="F36" s="1" t="s">
        <v>8</v>
      </c>
      <c r="G36" s="1" t="s">
        <v>13</v>
      </c>
      <c r="H36" s="1" t="s">
        <v>14</v>
      </c>
      <c r="I36" s="1">
        <v>8</v>
      </c>
      <c r="J36" s="1">
        <v>497</v>
      </c>
      <c r="K36" s="6">
        <f>Table1__2[[#This Row],[Quantity]]*Table1__2[[#This Row],[Unit_Price]]</f>
        <v>3976</v>
      </c>
    </row>
    <row r="37" spans="1:11" x14ac:dyDescent="0.35">
      <c r="A37" s="5" t="s">
        <v>37</v>
      </c>
      <c r="B37" s="48">
        <f>DATE(Table1__2[[#This Row],[Year]],Table1__2[[#This Row],[Month]],Table1__2[[#This Row],[Day]])</f>
        <v>45689</v>
      </c>
      <c r="C37" s="1">
        <v>1</v>
      </c>
      <c r="D37" s="1">
        <v>2</v>
      </c>
      <c r="E37" s="1">
        <v>2025</v>
      </c>
      <c r="F37" s="1" t="s">
        <v>12</v>
      </c>
      <c r="G37" s="1" t="s">
        <v>9</v>
      </c>
      <c r="H37" s="1" t="s">
        <v>10</v>
      </c>
      <c r="I37" s="1">
        <v>6</v>
      </c>
      <c r="J37" s="1">
        <v>646</v>
      </c>
      <c r="K37" s="6">
        <f>Table1__2[[#This Row],[Quantity]]*Table1__2[[#This Row],[Unit_Price]]</f>
        <v>3876</v>
      </c>
    </row>
    <row r="38" spans="1:11" x14ac:dyDescent="0.35">
      <c r="A38" s="5" t="s">
        <v>139</v>
      </c>
      <c r="B38" s="48">
        <f>DATE(Table1__2[[#This Row],[Year]],Table1__2[[#This Row],[Month]],Table1__2[[#This Row],[Day]])</f>
        <v>45672</v>
      </c>
      <c r="C38" s="1">
        <v>15</v>
      </c>
      <c r="D38" s="1">
        <v>1</v>
      </c>
      <c r="E38" s="1">
        <v>2025</v>
      </c>
      <c r="F38" s="1" t="s">
        <v>25</v>
      </c>
      <c r="G38" s="1" t="s">
        <v>13</v>
      </c>
      <c r="H38" s="1" t="s">
        <v>14</v>
      </c>
      <c r="I38" s="1">
        <v>9</v>
      </c>
      <c r="J38" s="1">
        <v>417</v>
      </c>
      <c r="K38" s="6">
        <f>Table1__2[[#This Row],[Quantity]]*Table1__2[[#This Row],[Unit_Price]]</f>
        <v>3753</v>
      </c>
    </row>
    <row r="39" spans="1:11" x14ac:dyDescent="0.35">
      <c r="A39" s="5" t="s">
        <v>44</v>
      </c>
      <c r="B39" s="48">
        <f>DATE(Table1__2[[#This Row],[Year]],Table1__2[[#This Row],[Month]],Table1__2[[#This Row],[Day]])</f>
        <v>45680</v>
      </c>
      <c r="C39" s="1">
        <v>23</v>
      </c>
      <c r="D39" s="1">
        <v>1</v>
      </c>
      <c r="E39" s="1">
        <v>2025</v>
      </c>
      <c r="F39" s="1" t="s">
        <v>29</v>
      </c>
      <c r="G39" s="1" t="s">
        <v>30</v>
      </c>
      <c r="H39" s="1" t="s">
        <v>18</v>
      </c>
      <c r="I39" s="1">
        <v>8</v>
      </c>
      <c r="J39" s="1">
        <v>457</v>
      </c>
      <c r="K39" s="6">
        <f>Table1__2[[#This Row],[Quantity]]*Table1__2[[#This Row],[Unit_Price]]</f>
        <v>3656</v>
      </c>
    </row>
    <row r="40" spans="1:11" x14ac:dyDescent="0.35">
      <c r="A40" s="5" t="s">
        <v>199</v>
      </c>
      <c r="B40" s="48">
        <f>DATE(Table1__2[[#This Row],[Year]],Table1__2[[#This Row],[Month]],Table1__2[[#This Row],[Day]])</f>
        <v>45680</v>
      </c>
      <c r="C40" s="1">
        <v>23</v>
      </c>
      <c r="D40" s="1">
        <v>1</v>
      </c>
      <c r="E40" s="1">
        <v>2025</v>
      </c>
      <c r="F40" s="1" t="s">
        <v>29</v>
      </c>
      <c r="G40" s="1" t="s">
        <v>9</v>
      </c>
      <c r="H40" s="1" t="s">
        <v>10</v>
      </c>
      <c r="I40" s="1">
        <v>10</v>
      </c>
      <c r="J40" s="1">
        <v>361</v>
      </c>
      <c r="K40" s="6">
        <f>Table1__2[[#This Row],[Quantity]]*Table1__2[[#This Row],[Unit_Price]]</f>
        <v>3610</v>
      </c>
    </row>
    <row r="41" spans="1:11" x14ac:dyDescent="0.35">
      <c r="A41" s="5" t="s">
        <v>11</v>
      </c>
      <c r="B41" s="48">
        <f>DATE(Table1__2[[#This Row],[Year]],Table1__2[[#This Row],[Month]],Table1__2[[#This Row],[Day]])</f>
        <v>45686</v>
      </c>
      <c r="C41" s="1">
        <v>29</v>
      </c>
      <c r="D41" s="1">
        <v>1</v>
      </c>
      <c r="E41" s="1">
        <v>2025</v>
      </c>
      <c r="F41" s="1" t="s">
        <v>12</v>
      </c>
      <c r="G41" s="1" t="s">
        <v>13</v>
      </c>
      <c r="H41" s="1" t="s">
        <v>14</v>
      </c>
      <c r="I41" s="1">
        <v>4</v>
      </c>
      <c r="J41" s="1">
        <v>890</v>
      </c>
      <c r="K41" s="6">
        <f>Table1__2[[#This Row],[Quantity]]*Table1__2[[#This Row],[Unit_Price]]</f>
        <v>3560</v>
      </c>
    </row>
    <row r="42" spans="1:11" x14ac:dyDescent="0.35">
      <c r="A42" s="5" t="s">
        <v>60</v>
      </c>
      <c r="B42" s="48">
        <f>DATE(Table1__2[[#This Row],[Year]],Table1__2[[#This Row],[Month]],Table1__2[[#This Row],[Day]])</f>
        <v>45710</v>
      </c>
      <c r="C42" s="1">
        <v>22</v>
      </c>
      <c r="D42" s="1">
        <v>2</v>
      </c>
      <c r="E42" s="1">
        <v>2025</v>
      </c>
      <c r="F42" s="1" t="s">
        <v>29</v>
      </c>
      <c r="G42" s="1" t="s">
        <v>9</v>
      </c>
      <c r="H42" s="1" t="s">
        <v>10</v>
      </c>
      <c r="I42" s="1">
        <v>5</v>
      </c>
      <c r="J42" s="1">
        <v>694</v>
      </c>
      <c r="K42" s="6">
        <f>Table1__2[[#This Row],[Quantity]]*Table1__2[[#This Row],[Unit_Price]]</f>
        <v>3470</v>
      </c>
    </row>
    <row r="43" spans="1:11" x14ac:dyDescent="0.35">
      <c r="A43" s="5" t="s">
        <v>170</v>
      </c>
      <c r="B43" s="48">
        <f>DATE(Table1__2[[#This Row],[Year]],Table1__2[[#This Row],[Month]],Table1__2[[#This Row],[Day]])</f>
        <v>45713</v>
      </c>
      <c r="C43" s="1">
        <v>25</v>
      </c>
      <c r="D43" s="1">
        <v>2</v>
      </c>
      <c r="E43" s="1">
        <v>2025</v>
      </c>
      <c r="F43" s="1" t="s">
        <v>29</v>
      </c>
      <c r="G43" s="1" t="s">
        <v>13</v>
      </c>
      <c r="H43" s="1" t="s">
        <v>14</v>
      </c>
      <c r="I43" s="1">
        <v>4</v>
      </c>
      <c r="J43" s="1">
        <v>865</v>
      </c>
      <c r="K43" s="6">
        <f>Table1__2[[#This Row],[Quantity]]*Table1__2[[#This Row],[Unit_Price]]</f>
        <v>3460</v>
      </c>
    </row>
    <row r="44" spans="1:11" x14ac:dyDescent="0.35">
      <c r="A44" s="5" t="s">
        <v>108</v>
      </c>
      <c r="B44" s="48">
        <f>DATE(Table1__2[[#This Row],[Year]],Table1__2[[#This Row],[Month]],Table1__2[[#This Row],[Day]])</f>
        <v>45665</v>
      </c>
      <c r="C44" s="1">
        <v>8</v>
      </c>
      <c r="D44" s="1">
        <v>1</v>
      </c>
      <c r="E44" s="1">
        <v>2025</v>
      </c>
      <c r="F44" s="1" t="s">
        <v>12</v>
      </c>
      <c r="G44" s="1" t="s">
        <v>32</v>
      </c>
      <c r="H44" s="1" t="s">
        <v>18</v>
      </c>
      <c r="I44" s="1">
        <v>7</v>
      </c>
      <c r="J44" s="1">
        <v>473</v>
      </c>
      <c r="K44" s="6">
        <f>Table1__2[[#This Row],[Quantity]]*Table1__2[[#This Row],[Unit_Price]]</f>
        <v>3311</v>
      </c>
    </row>
    <row r="45" spans="1:11" x14ac:dyDescent="0.35">
      <c r="A45" s="5" t="s">
        <v>100</v>
      </c>
      <c r="B45" s="48">
        <f>DATE(Table1__2[[#This Row],[Year]],Table1__2[[#This Row],[Month]],Table1__2[[#This Row],[Day]])</f>
        <v>45715</v>
      </c>
      <c r="C45" s="1">
        <v>27</v>
      </c>
      <c r="D45" s="1">
        <v>2</v>
      </c>
      <c r="E45" s="1">
        <v>2025</v>
      </c>
      <c r="F45" s="1" t="s">
        <v>29</v>
      </c>
      <c r="G45" s="1" t="s">
        <v>30</v>
      </c>
      <c r="H45" s="1" t="s">
        <v>18</v>
      </c>
      <c r="I45" s="1">
        <v>4</v>
      </c>
      <c r="J45" s="1">
        <v>824</v>
      </c>
      <c r="K45" s="6">
        <f>Table1__2[[#This Row],[Quantity]]*Table1__2[[#This Row],[Unit_Price]]</f>
        <v>3296</v>
      </c>
    </row>
    <row r="46" spans="1:11" x14ac:dyDescent="0.35">
      <c r="A46" s="5" t="s">
        <v>94</v>
      </c>
      <c r="B46" s="48">
        <f>DATE(Table1__2[[#This Row],[Year]],Table1__2[[#This Row],[Month]],Table1__2[[#This Row],[Day]])</f>
        <v>45661</v>
      </c>
      <c r="C46" s="1">
        <v>4</v>
      </c>
      <c r="D46" s="1">
        <v>1</v>
      </c>
      <c r="E46" s="1">
        <v>2025</v>
      </c>
      <c r="F46" s="1" t="s">
        <v>25</v>
      </c>
      <c r="G46" s="1" t="s">
        <v>9</v>
      </c>
      <c r="H46" s="1" t="s">
        <v>10</v>
      </c>
      <c r="I46" s="1">
        <v>5</v>
      </c>
      <c r="J46" s="1">
        <v>656</v>
      </c>
      <c r="K46" s="6">
        <f>Table1__2[[#This Row],[Quantity]]*Table1__2[[#This Row],[Unit_Price]]</f>
        <v>3280</v>
      </c>
    </row>
    <row r="47" spans="1:11" x14ac:dyDescent="0.35">
      <c r="A47" s="5" t="s">
        <v>40</v>
      </c>
      <c r="B47" s="48">
        <f>DATE(Table1__2[[#This Row],[Year]],Table1__2[[#This Row],[Month]],Table1__2[[#This Row],[Day]])</f>
        <v>45699</v>
      </c>
      <c r="C47" s="1">
        <v>11</v>
      </c>
      <c r="D47" s="1">
        <v>2</v>
      </c>
      <c r="E47" s="1">
        <v>2025</v>
      </c>
      <c r="F47" s="1" t="s">
        <v>8</v>
      </c>
      <c r="G47" s="1" t="s">
        <v>9</v>
      </c>
      <c r="H47" s="1" t="s">
        <v>10</v>
      </c>
      <c r="I47" s="1">
        <v>5</v>
      </c>
      <c r="J47" s="1">
        <v>649</v>
      </c>
      <c r="K47" s="6">
        <f>Table1__2[[#This Row],[Quantity]]*Table1__2[[#This Row],[Unit_Price]]</f>
        <v>3245</v>
      </c>
    </row>
    <row r="48" spans="1:11" x14ac:dyDescent="0.35">
      <c r="A48" s="5" t="s">
        <v>35</v>
      </c>
      <c r="B48" s="48">
        <f>DATE(Table1__2[[#This Row],[Year]],Table1__2[[#This Row],[Month]],Table1__2[[#This Row],[Day]])</f>
        <v>45693</v>
      </c>
      <c r="C48" s="1">
        <v>5</v>
      </c>
      <c r="D48" s="1">
        <v>2</v>
      </c>
      <c r="E48" s="1">
        <v>2025</v>
      </c>
      <c r="F48" s="1" t="s">
        <v>29</v>
      </c>
      <c r="G48" s="1" t="s">
        <v>17</v>
      </c>
      <c r="H48" s="1" t="s">
        <v>18</v>
      </c>
      <c r="I48" s="1">
        <v>6</v>
      </c>
      <c r="J48" s="1">
        <v>511</v>
      </c>
      <c r="K48" s="6">
        <f>Table1__2[[#This Row],[Quantity]]*Table1__2[[#This Row],[Unit_Price]]</f>
        <v>3066</v>
      </c>
    </row>
    <row r="49" spans="1:11" x14ac:dyDescent="0.35">
      <c r="A49" s="5" t="s">
        <v>219</v>
      </c>
      <c r="B49" s="48">
        <f>DATE(Table1__2[[#This Row],[Year]],Table1__2[[#This Row],[Month]],Table1__2[[#This Row],[Day]])</f>
        <v>45680</v>
      </c>
      <c r="C49" s="1">
        <v>23</v>
      </c>
      <c r="D49" s="1">
        <v>1</v>
      </c>
      <c r="E49" s="1">
        <v>2025</v>
      </c>
      <c r="F49" s="1" t="s">
        <v>12</v>
      </c>
      <c r="G49" s="1" t="s">
        <v>23</v>
      </c>
      <c r="H49" s="1" t="s">
        <v>10</v>
      </c>
      <c r="I49" s="1">
        <v>5</v>
      </c>
      <c r="J49" s="1">
        <v>611</v>
      </c>
      <c r="K49" s="6">
        <f>Table1__2[[#This Row],[Quantity]]*Table1__2[[#This Row],[Unit_Price]]</f>
        <v>3055</v>
      </c>
    </row>
    <row r="50" spans="1:11" x14ac:dyDescent="0.35">
      <c r="A50" s="5" t="s">
        <v>47</v>
      </c>
      <c r="B50" s="48">
        <f>DATE(Table1__2[[#This Row],[Year]],Table1__2[[#This Row],[Month]],Table1__2[[#This Row],[Day]])</f>
        <v>45706</v>
      </c>
      <c r="C50" s="1">
        <v>18</v>
      </c>
      <c r="D50" s="1">
        <v>2</v>
      </c>
      <c r="E50" s="1">
        <v>2025</v>
      </c>
      <c r="F50" s="1" t="s">
        <v>25</v>
      </c>
      <c r="G50" s="1" t="s">
        <v>9</v>
      </c>
      <c r="H50" s="1" t="s">
        <v>10</v>
      </c>
      <c r="I50" s="1">
        <v>4</v>
      </c>
      <c r="J50" s="1">
        <v>761</v>
      </c>
      <c r="K50" s="6">
        <f>Table1__2[[#This Row],[Quantity]]*Table1__2[[#This Row],[Unit_Price]]</f>
        <v>3044</v>
      </c>
    </row>
    <row r="51" spans="1:11" x14ac:dyDescent="0.35">
      <c r="A51" s="5" t="s">
        <v>28</v>
      </c>
      <c r="B51" s="48">
        <f>DATE(Table1__2[[#This Row],[Year]],Table1__2[[#This Row],[Month]],Table1__2[[#This Row],[Day]])</f>
        <v>45703</v>
      </c>
      <c r="C51" s="1">
        <v>15</v>
      </c>
      <c r="D51" s="1">
        <v>2</v>
      </c>
      <c r="E51" s="1">
        <v>2025</v>
      </c>
      <c r="F51" s="1" t="s">
        <v>29</v>
      </c>
      <c r="G51" s="1" t="s">
        <v>30</v>
      </c>
      <c r="H51" s="1" t="s">
        <v>18</v>
      </c>
      <c r="I51" s="1">
        <v>7</v>
      </c>
      <c r="J51" s="1">
        <v>429</v>
      </c>
      <c r="K51" s="6">
        <f>Table1__2[[#This Row],[Quantity]]*Table1__2[[#This Row],[Unit_Price]]</f>
        <v>3003</v>
      </c>
    </row>
    <row r="52" spans="1:11" x14ac:dyDescent="0.35">
      <c r="A52" s="5" t="s">
        <v>153</v>
      </c>
      <c r="B52" s="48">
        <f>DATE(Table1__2[[#This Row],[Year]],Table1__2[[#This Row],[Month]],Table1__2[[#This Row],[Day]])</f>
        <v>45661</v>
      </c>
      <c r="C52" s="1">
        <v>4</v>
      </c>
      <c r="D52" s="1">
        <v>1</v>
      </c>
      <c r="E52" s="1">
        <v>2025</v>
      </c>
      <c r="F52" s="1" t="s">
        <v>29</v>
      </c>
      <c r="G52" s="1" t="s">
        <v>32</v>
      </c>
      <c r="H52" s="1" t="s">
        <v>18</v>
      </c>
      <c r="I52" s="1">
        <v>4</v>
      </c>
      <c r="J52" s="1">
        <v>743</v>
      </c>
      <c r="K52" s="6">
        <f>Table1__2[[#This Row],[Quantity]]*Table1__2[[#This Row],[Unit_Price]]</f>
        <v>2972</v>
      </c>
    </row>
    <row r="53" spans="1:11" x14ac:dyDescent="0.35">
      <c r="A53" s="5" t="s">
        <v>53</v>
      </c>
      <c r="B53" s="48">
        <f>DATE(Table1__2[[#This Row],[Year]],Table1__2[[#This Row],[Month]],Table1__2[[#This Row],[Day]])</f>
        <v>45717</v>
      </c>
      <c r="C53" s="1">
        <v>1</v>
      </c>
      <c r="D53" s="1">
        <v>3</v>
      </c>
      <c r="E53" s="1">
        <v>2025</v>
      </c>
      <c r="F53" s="1" t="s">
        <v>8</v>
      </c>
      <c r="G53" s="1" t="s">
        <v>23</v>
      </c>
      <c r="H53" s="1" t="s">
        <v>10</v>
      </c>
      <c r="I53" s="1">
        <v>5</v>
      </c>
      <c r="J53" s="1">
        <v>575</v>
      </c>
      <c r="K53" s="6">
        <f>Table1__2[[#This Row],[Quantity]]*Table1__2[[#This Row],[Unit_Price]]</f>
        <v>2875</v>
      </c>
    </row>
    <row r="54" spans="1:11" x14ac:dyDescent="0.35">
      <c r="A54" s="5" t="s">
        <v>207</v>
      </c>
      <c r="B54" s="48">
        <f>DATE(Table1__2[[#This Row],[Year]],Table1__2[[#This Row],[Month]],Table1__2[[#This Row],[Day]])</f>
        <v>45697</v>
      </c>
      <c r="C54" s="1">
        <v>9</v>
      </c>
      <c r="D54" s="1">
        <v>2</v>
      </c>
      <c r="E54" s="1">
        <v>2025</v>
      </c>
      <c r="F54" s="1" t="s">
        <v>25</v>
      </c>
      <c r="G54" s="1" t="s">
        <v>32</v>
      </c>
      <c r="H54" s="1" t="s">
        <v>18</v>
      </c>
      <c r="I54" s="1">
        <v>7</v>
      </c>
      <c r="J54" s="1">
        <v>399</v>
      </c>
      <c r="K54" s="6">
        <f>Table1__2[[#This Row],[Quantity]]*Table1__2[[#This Row],[Unit_Price]]</f>
        <v>2793</v>
      </c>
    </row>
    <row r="55" spans="1:11" x14ac:dyDescent="0.35">
      <c r="A55" s="5" t="s">
        <v>188</v>
      </c>
      <c r="B55" s="48">
        <f>DATE(Table1__2[[#This Row],[Year]],Table1__2[[#This Row],[Month]],Table1__2[[#This Row],[Day]])</f>
        <v>45704</v>
      </c>
      <c r="C55" s="1">
        <v>16</v>
      </c>
      <c r="D55" s="1">
        <v>2</v>
      </c>
      <c r="E55" s="1">
        <v>2025</v>
      </c>
      <c r="F55" s="1" t="s">
        <v>25</v>
      </c>
      <c r="G55" s="1" t="s">
        <v>30</v>
      </c>
      <c r="H55" s="1" t="s">
        <v>18</v>
      </c>
      <c r="I55" s="1">
        <v>9</v>
      </c>
      <c r="J55" s="1">
        <v>310</v>
      </c>
      <c r="K55" s="6">
        <f>Table1__2[[#This Row],[Quantity]]*Table1__2[[#This Row],[Unit_Price]]</f>
        <v>2790</v>
      </c>
    </row>
    <row r="56" spans="1:11" x14ac:dyDescent="0.35">
      <c r="A56" s="5" t="s">
        <v>125</v>
      </c>
      <c r="B56" s="48">
        <f>DATE(Table1__2[[#This Row],[Year]],Table1__2[[#This Row],[Month]],Table1__2[[#This Row],[Day]])</f>
        <v>45715</v>
      </c>
      <c r="C56" s="1">
        <v>27</v>
      </c>
      <c r="D56" s="1">
        <v>2</v>
      </c>
      <c r="E56" s="1">
        <v>2025</v>
      </c>
      <c r="F56" s="1" t="s">
        <v>12</v>
      </c>
      <c r="G56" s="1" t="s">
        <v>13</v>
      </c>
      <c r="H56" s="1" t="s">
        <v>14</v>
      </c>
      <c r="I56" s="1">
        <v>7</v>
      </c>
      <c r="J56" s="1">
        <v>396</v>
      </c>
      <c r="K56" s="6">
        <f>Table1__2[[#This Row],[Quantity]]*Table1__2[[#This Row],[Unit_Price]]</f>
        <v>2772</v>
      </c>
    </row>
    <row r="57" spans="1:11" x14ac:dyDescent="0.35">
      <c r="A57" s="5" t="s">
        <v>160</v>
      </c>
      <c r="B57" s="48">
        <f>DATE(Table1__2[[#This Row],[Year]],Table1__2[[#This Row],[Month]],Table1__2[[#This Row],[Day]])</f>
        <v>45701</v>
      </c>
      <c r="C57" s="1">
        <v>13</v>
      </c>
      <c r="D57" s="1">
        <v>2</v>
      </c>
      <c r="E57" s="1">
        <v>2025</v>
      </c>
      <c r="F57" s="1" t="s">
        <v>25</v>
      </c>
      <c r="G57" s="1" t="s">
        <v>9</v>
      </c>
      <c r="H57" s="1" t="s">
        <v>10</v>
      </c>
      <c r="I57" s="1">
        <v>9</v>
      </c>
      <c r="J57" s="1">
        <v>308</v>
      </c>
      <c r="K57" s="6">
        <f>Table1__2[[#This Row],[Quantity]]*Table1__2[[#This Row],[Unit_Price]]</f>
        <v>2772</v>
      </c>
    </row>
    <row r="58" spans="1:11" x14ac:dyDescent="0.35">
      <c r="A58" s="5" t="s">
        <v>212</v>
      </c>
      <c r="B58" s="48">
        <f>DATE(Table1__2[[#This Row],[Year]],Table1__2[[#This Row],[Month]],Table1__2[[#This Row],[Day]])</f>
        <v>45691</v>
      </c>
      <c r="C58" s="1">
        <v>3</v>
      </c>
      <c r="D58" s="1">
        <v>2</v>
      </c>
      <c r="E58" s="1">
        <v>2025</v>
      </c>
      <c r="F58" s="1" t="s">
        <v>29</v>
      </c>
      <c r="G58" s="1" t="s">
        <v>32</v>
      </c>
      <c r="H58" s="1" t="s">
        <v>18</v>
      </c>
      <c r="I58" s="1">
        <v>4</v>
      </c>
      <c r="J58" s="1">
        <v>693</v>
      </c>
      <c r="K58" s="6">
        <f>Table1__2[[#This Row],[Quantity]]*Table1__2[[#This Row],[Unit_Price]]</f>
        <v>2772</v>
      </c>
    </row>
    <row r="59" spans="1:11" x14ac:dyDescent="0.35">
      <c r="A59" s="5" t="s">
        <v>203</v>
      </c>
      <c r="B59" s="48">
        <f>DATE(Table1__2[[#This Row],[Year]],Table1__2[[#This Row],[Month]],Table1__2[[#This Row],[Day]])</f>
        <v>45698</v>
      </c>
      <c r="C59" s="1">
        <v>10</v>
      </c>
      <c r="D59" s="1">
        <v>2</v>
      </c>
      <c r="E59" s="1">
        <v>2025</v>
      </c>
      <c r="F59" s="1" t="s">
        <v>29</v>
      </c>
      <c r="G59" s="1" t="s">
        <v>32</v>
      </c>
      <c r="H59" s="1" t="s">
        <v>18</v>
      </c>
      <c r="I59" s="1">
        <v>8</v>
      </c>
      <c r="J59" s="1">
        <v>346</v>
      </c>
      <c r="K59" s="6">
        <f>Table1__2[[#This Row],[Quantity]]*Table1__2[[#This Row],[Unit_Price]]</f>
        <v>2768</v>
      </c>
    </row>
    <row r="60" spans="1:11" x14ac:dyDescent="0.35">
      <c r="A60" s="5" t="s">
        <v>146</v>
      </c>
      <c r="B60" s="48">
        <f>DATE(Table1__2[[#This Row],[Year]],Table1__2[[#This Row],[Month]],Table1__2[[#This Row],[Day]])</f>
        <v>45662</v>
      </c>
      <c r="C60" s="1">
        <v>5</v>
      </c>
      <c r="D60" s="1">
        <v>1</v>
      </c>
      <c r="E60" s="1">
        <v>2025</v>
      </c>
      <c r="F60" s="1" t="s">
        <v>29</v>
      </c>
      <c r="G60" s="1" t="s">
        <v>13</v>
      </c>
      <c r="H60" s="1" t="s">
        <v>14</v>
      </c>
      <c r="I60" s="1">
        <v>9</v>
      </c>
      <c r="J60" s="1">
        <v>307</v>
      </c>
      <c r="K60" s="6">
        <f>Table1__2[[#This Row],[Quantity]]*Table1__2[[#This Row],[Unit_Price]]</f>
        <v>2763</v>
      </c>
    </row>
    <row r="61" spans="1:11" x14ac:dyDescent="0.35">
      <c r="A61" s="5" t="s">
        <v>107</v>
      </c>
      <c r="B61" s="48">
        <f>DATE(Table1__2[[#This Row],[Year]],Table1__2[[#This Row],[Month]],Table1__2[[#This Row],[Day]])</f>
        <v>45682</v>
      </c>
      <c r="C61" s="1">
        <v>25</v>
      </c>
      <c r="D61" s="1">
        <v>1</v>
      </c>
      <c r="E61" s="1">
        <v>2025</v>
      </c>
      <c r="F61" s="1" t="s">
        <v>8</v>
      </c>
      <c r="G61" s="1" t="s">
        <v>27</v>
      </c>
      <c r="H61" s="1" t="s">
        <v>18</v>
      </c>
      <c r="I61" s="1">
        <v>9</v>
      </c>
      <c r="J61" s="1">
        <v>297</v>
      </c>
      <c r="K61" s="6">
        <f>Table1__2[[#This Row],[Quantity]]*Table1__2[[#This Row],[Unit_Price]]</f>
        <v>2673</v>
      </c>
    </row>
    <row r="62" spans="1:11" x14ac:dyDescent="0.35">
      <c r="A62" s="5" t="s">
        <v>172</v>
      </c>
      <c r="B62" s="48">
        <f>DATE(Table1__2[[#This Row],[Year]],Table1__2[[#This Row],[Month]],Table1__2[[#This Row],[Day]])</f>
        <v>45702</v>
      </c>
      <c r="C62" s="1">
        <v>14</v>
      </c>
      <c r="D62" s="1">
        <v>2</v>
      </c>
      <c r="E62" s="1">
        <v>2025</v>
      </c>
      <c r="F62" s="1" t="s">
        <v>8</v>
      </c>
      <c r="G62" s="1" t="s">
        <v>9</v>
      </c>
      <c r="H62" s="1" t="s">
        <v>10</v>
      </c>
      <c r="I62" s="1">
        <v>6</v>
      </c>
      <c r="J62" s="1">
        <v>438</v>
      </c>
      <c r="K62" s="6">
        <f>Table1__2[[#This Row],[Quantity]]*Table1__2[[#This Row],[Unit_Price]]</f>
        <v>2628</v>
      </c>
    </row>
    <row r="63" spans="1:11" x14ac:dyDescent="0.35">
      <c r="A63" s="5" t="s">
        <v>129</v>
      </c>
      <c r="B63" s="48">
        <f>DATE(Table1__2[[#This Row],[Year]],Table1__2[[#This Row],[Month]],Table1__2[[#This Row],[Day]])</f>
        <v>45661</v>
      </c>
      <c r="C63" s="1">
        <v>4</v>
      </c>
      <c r="D63" s="1">
        <v>1</v>
      </c>
      <c r="E63" s="1">
        <v>2025</v>
      </c>
      <c r="F63" s="1" t="s">
        <v>8</v>
      </c>
      <c r="G63" s="1" t="s">
        <v>13</v>
      </c>
      <c r="H63" s="1" t="s">
        <v>14</v>
      </c>
      <c r="I63" s="1">
        <v>6</v>
      </c>
      <c r="J63" s="1">
        <v>437</v>
      </c>
      <c r="K63" s="6">
        <f>Table1__2[[#This Row],[Quantity]]*Table1__2[[#This Row],[Unit_Price]]</f>
        <v>2622</v>
      </c>
    </row>
    <row r="64" spans="1:11" x14ac:dyDescent="0.35">
      <c r="A64" s="5" t="s">
        <v>195</v>
      </c>
      <c r="B64" s="48">
        <f>DATE(Table1__2[[#This Row],[Year]],Table1__2[[#This Row],[Month]],Table1__2[[#This Row],[Day]])</f>
        <v>45659</v>
      </c>
      <c r="C64" s="1">
        <v>2</v>
      </c>
      <c r="D64" s="1">
        <v>1</v>
      </c>
      <c r="E64" s="1">
        <v>2025</v>
      </c>
      <c r="F64" s="1" t="s">
        <v>8</v>
      </c>
      <c r="G64" s="1" t="s">
        <v>13</v>
      </c>
      <c r="H64" s="1" t="s">
        <v>14</v>
      </c>
      <c r="I64" s="1">
        <v>7</v>
      </c>
      <c r="J64" s="1">
        <v>371</v>
      </c>
      <c r="K64" s="6">
        <f>Table1__2[[#This Row],[Quantity]]*Table1__2[[#This Row],[Unit_Price]]</f>
        <v>2597</v>
      </c>
    </row>
    <row r="65" spans="1:11" x14ac:dyDescent="0.35">
      <c r="A65" s="5" t="s">
        <v>74</v>
      </c>
      <c r="B65" s="48">
        <f>DATE(Table1__2[[#This Row],[Year]],Table1__2[[#This Row],[Month]],Table1__2[[#This Row],[Day]])</f>
        <v>45660</v>
      </c>
      <c r="C65" s="1">
        <v>3</v>
      </c>
      <c r="D65" s="1">
        <v>1</v>
      </c>
      <c r="E65" s="1">
        <v>2025</v>
      </c>
      <c r="F65" s="1" t="s">
        <v>25</v>
      </c>
      <c r="G65" s="1" t="s">
        <v>17</v>
      </c>
      <c r="H65" s="1" t="s">
        <v>18</v>
      </c>
      <c r="I65" s="1">
        <v>10</v>
      </c>
      <c r="J65" s="1">
        <v>259</v>
      </c>
      <c r="K65" s="6">
        <f>Table1__2[[#This Row],[Quantity]]*Table1__2[[#This Row],[Unit_Price]]</f>
        <v>2590</v>
      </c>
    </row>
    <row r="66" spans="1:11" x14ac:dyDescent="0.35">
      <c r="A66" s="5" t="s">
        <v>54</v>
      </c>
      <c r="B66" s="48">
        <f>DATE(Table1__2[[#This Row],[Year]],Table1__2[[#This Row],[Month]],Table1__2[[#This Row],[Day]])</f>
        <v>45715</v>
      </c>
      <c r="C66" s="1">
        <v>27</v>
      </c>
      <c r="D66" s="1">
        <v>2</v>
      </c>
      <c r="E66" s="1">
        <v>2025</v>
      </c>
      <c r="F66" s="1" t="s">
        <v>25</v>
      </c>
      <c r="G66" s="1" t="s">
        <v>30</v>
      </c>
      <c r="H66" s="1" t="s">
        <v>18</v>
      </c>
      <c r="I66" s="1">
        <v>10</v>
      </c>
      <c r="J66" s="1">
        <v>253</v>
      </c>
      <c r="K66" s="6">
        <f>Table1__2[[#This Row],[Quantity]]*Table1__2[[#This Row],[Unit_Price]]</f>
        <v>2530</v>
      </c>
    </row>
    <row r="67" spans="1:11" x14ac:dyDescent="0.35">
      <c r="A67" s="5" t="s">
        <v>162</v>
      </c>
      <c r="B67" s="48">
        <f>DATE(Table1__2[[#This Row],[Year]],Table1__2[[#This Row],[Month]],Table1__2[[#This Row],[Day]])</f>
        <v>45660</v>
      </c>
      <c r="C67" s="1">
        <v>3</v>
      </c>
      <c r="D67" s="1">
        <v>1</v>
      </c>
      <c r="E67" s="1">
        <v>2025</v>
      </c>
      <c r="F67" s="1" t="s">
        <v>12</v>
      </c>
      <c r="G67" s="1" t="s">
        <v>9</v>
      </c>
      <c r="H67" s="1" t="s">
        <v>10</v>
      </c>
      <c r="I67" s="1">
        <v>5</v>
      </c>
      <c r="J67" s="1">
        <v>493</v>
      </c>
      <c r="K67" s="6">
        <f>Table1__2[[#This Row],[Quantity]]*Table1__2[[#This Row],[Unit_Price]]</f>
        <v>2465</v>
      </c>
    </row>
    <row r="68" spans="1:11" x14ac:dyDescent="0.35">
      <c r="A68" s="5" t="s">
        <v>159</v>
      </c>
      <c r="B68" s="48">
        <f>DATE(Table1__2[[#This Row],[Year]],Table1__2[[#This Row],[Month]],Table1__2[[#This Row],[Day]])</f>
        <v>45665</v>
      </c>
      <c r="C68" s="1">
        <v>8</v>
      </c>
      <c r="D68" s="1">
        <v>1</v>
      </c>
      <c r="E68" s="1">
        <v>2025</v>
      </c>
      <c r="F68" s="1" t="s">
        <v>29</v>
      </c>
      <c r="G68" s="1" t="s">
        <v>17</v>
      </c>
      <c r="H68" s="1" t="s">
        <v>18</v>
      </c>
      <c r="I68" s="1">
        <v>5</v>
      </c>
      <c r="J68" s="1">
        <v>479</v>
      </c>
      <c r="K68" s="6">
        <f>Table1__2[[#This Row],[Quantity]]*Table1__2[[#This Row],[Unit_Price]]</f>
        <v>2395</v>
      </c>
    </row>
    <row r="69" spans="1:11" x14ac:dyDescent="0.35">
      <c r="A69" s="5" t="s">
        <v>182</v>
      </c>
      <c r="B69" s="48">
        <f>DATE(Table1__2[[#This Row],[Year]],Table1__2[[#This Row],[Month]],Table1__2[[#This Row],[Day]])</f>
        <v>45665</v>
      </c>
      <c r="C69" s="1">
        <v>8</v>
      </c>
      <c r="D69" s="1">
        <v>1</v>
      </c>
      <c r="E69" s="1">
        <v>2025</v>
      </c>
      <c r="F69" s="1" t="s">
        <v>12</v>
      </c>
      <c r="G69" s="1" t="s">
        <v>27</v>
      </c>
      <c r="H69" s="1" t="s">
        <v>18</v>
      </c>
      <c r="I69" s="1">
        <v>9</v>
      </c>
      <c r="J69" s="1">
        <v>264</v>
      </c>
      <c r="K69" s="6">
        <f>Table1__2[[#This Row],[Quantity]]*Table1__2[[#This Row],[Unit_Price]]</f>
        <v>2376</v>
      </c>
    </row>
    <row r="70" spans="1:11" x14ac:dyDescent="0.35">
      <c r="A70" s="5" t="s">
        <v>209</v>
      </c>
      <c r="B70" s="48">
        <f>DATE(Table1__2[[#This Row],[Year]],Table1__2[[#This Row],[Month]],Table1__2[[#This Row],[Day]])</f>
        <v>45705</v>
      </c>
      <c r="C70" s="1">
        <v>17</v>
      </c>
      <c r="D70" s="1">
        <v>2</v>
      </c>
      <c r="E70" s="1">
        <v>2025</v>
      </c>
      <c r="F70" s="1" t="s">
        <v>12</v>
      </c>
      <c r="G70" s="1" t="s">
        <v>17</v>
      </c>
      <c r="H70" s="1" t="s">
        <v>18</v>
      </c>
      <c r="I70" s="1">
        <v>5</v>
      </c>
      <c r="J70" s="1">
        <v>475</v>
      </c>
      <c r="K70" s="6">
        <f>Table1__2[[#This Row],[Quantity]]*Table1__2[[#This Row],[Unit_Price]]</f>
        <v>2375</v>
      </c>
    </row>
    <row r="71" spans="1:11" x14ac:dyDescent="0.35">
      <c r="A71" s="5" t="s">
        <v>92</v>
      </c>
      <c r="B71" s="48">
        <f>DATE(Table1__2[[#This Row],[Year]],Table1__2[[#This Row],[Month]],Table1__2[[#This Row],[Day]])</f>
        <v>45704</v>
      </c>
      <c r="C71" s="1">
        <v>16</v>
      </c>
      <c r="D71" s="1">
        <v>2</v>
      </c>
      <c r="E71" s="1">
        <v>2025</v>
      </c>
      <c r="F71" s="1" t="s">
        <v>29</v>
      </c>
      <c r="G71" s="1" t="s">
        <v>23</v>
      </c>
      <c r="H71" s="1" t="s">
        <v>10</v>
      </c>
      <c r="I71" s="1">
        <v>8</v>
      </c>
      <c r="J71" s="1">
        <v>292</v>
      </c>
      <c r="K71" s="6">
        <f>Table1__2[[#This Row],[Quantity]]*Table1__2[[#This Row],[Unit_Price]]</f>
        <v>2336</v>
      </c>
    </row>
    <row r="72" spans="1:11" x14ac:dyDescent="0.35">
      <c r="A72" s="5" t="s">
        <v>134</v>
      </c>
      <c r="B72" s="48">
        <f>DATE(Table1__2[[#This Row],[Year]],Table1__2[[#This Row],[Month]],Table1__2[[#This Row],[Day]])</f>
        <v>45708</v>
      </c>
      <c r="C72" s="1">
        <v>20</v>
      </c>
      <c r="D72" s="1">
        <v>2</v>
      </c>
      <c r="E72" s="1">
        <v>2025</v>
      </c>
      <c r="F72" s="1" t="s">
        <v>29</v>
      </c>
      <c r="G72" s="1" t="s">
        <v>32</v>
      </c>
      <c r="H72" s="1" t="s">
        <v>18</v>
      </c>
      <c r="I72" s="1">
        <v>6</v>
      </c>
      <c r="J72" s="1">
        <v>389</v>
      </c>
      <c r="K72" s="6">
        <f>Table1__2[[#This Row],[Quantity]]*Table1__2[[#This Row],[Unit_Price]]</f>
        <v>2334</v>
      </c>
    </row>
    <row r="73" spans="1:11" x14ac:dyDescent="0.35">
      <c r="A73" s="5" t="s">
        <v>87</v>
      </c>
      <c r="B73" s="48">
        <f>DATE(Table1__2[[#This Row],[Year]],Table1__2[[#This Row],[Month]],Table1__2[[#This Row],[Day]])</f>
        <v>45701</v>
      </c>
      <c r="C73" s="1">
        <v>13</v>
      </c>
      <c r="D73" s="1">
        <v>2</v>
      </c>
      <c r="E73" s="1">
        <v>2025</v>
      </c>
      <c r="F73" s="1" t="s">
        <v>25</v>
      </c>
      <c r="G73" s="1" t="s">
        <v>27</v>
      </c>
      <c r="H73" s="1" t="s">
        <v>18</v>
      </c>
      <c r="I73" s="1">
        <v>3</v>
      </c>
      <c r="J73" s="1">
        <v>762</v>
      </c>
      <c r="K73" s="6">
        <f>Table1__2[[#This Row],[Quantity]]*Table1__2[[#This Row],[Unit_Price]]</f>
        <v>2286</v>
      </c>
    </row>
    <row r="74" spans="1:11" x14ac:dyDescent="0.35">
      <c r="A74" s="5" t="s">
        <v>114</v>
      </c>
      <c r="B74" s="48">
        <f>DATE(Table1__2[[#This Row],[Year]],Table1__2[[#This Row],[Month]],Table1__2[[#This Row],[Day]])</f>
        <v>45714</v>
      </c>
      <c r="C74" s="1">
        <v>26</v>
      </c>
      <c r="D74" s="1">
        <v>2</v>
      </c>
      <c r="E74" s="1">
        <v>2025</v>
      </c>
      <c r="F74" s="1" t="s">
        <v>29</v>
      </c>
      <c r="G74" s="1" t="s">
        <v>30</v>
      </c>
      <c r="H74" s="1" t="s">
        <v>18</v>
      </c>
      <c r="I74" s="1">
        <v>3</v>
      </c>
      <c r="J74" s="1">
        <v>750</v>
      </c>
      <c r="K74" s="6">
        <f>Table1__2[[#This Row],[Quantity]]*Table1__2[[#This Row],[Unit_Price]]</f>
        <v>2250</v>
      </c>
    </row>
    <row r="75" spans="1:11" x14ac:dyDescent="0.35">
      <c r="A75" s="5" t="s">
        <v>197</v>
      </c>
      <c r="B75" s="48">
        <f>DATE(Table1__2[[#This Row],[Year]],Table1__2[[#This Row],[Month]],Table1__2[[#This Row],[Day]])</f>
        <v>45706</v>
      </c>
      <c r="C75" s="1">
        <v>18</v>
      </c>
      <c r="D75" s="1">
        <v>2</v>
      </c>
      <c r="E75" s="1">
        <v>2025</v>
      </c>
      <c r="F75" s="1" t="s">
        <v>25</v>
      </c>
      <c r="G75" s="1" t="s">
        <v>27</v>
      </c>
      <c r="H75" s="1" t="s">
        <v>18</v>
      </c>
      <c r="I75" s="1">
        <v>3</v>
      </c>
      <c r="J75" s="1">
        <v>748</v>
      </c>
      <c r="K75" s="6">
        <f>Table1__2[[#This Row],[Quantity]]*Table1__2[[#This Row],[Unit_Price]]</f>
        <v>2244</v>
      </c>
    </row>
    <row r="76" spans="1:11" x14ac:dyDescent="0.35">
      <c r="A76" s="5" t="s">
        <v>156</v>
      </c>
      <c r="B76" s="48">
        <f>DATE(Table1__2[[#This Row],[Year]],Table1__2[[#This Row],[Month]],Table1__2[[#This Row],[Day]])</f>
        <v>45693</v>
      </c>
      <c r="C76" s="1">
        <v>5</v>
      </c>
      <c r="D76" s="1">
        <v>2</v>
      </c>
      <c r="E76" s="1">
        <v>2025</v>
      </c>
      <c r="F76" s="1" t="s">
        <v>8</v>
      </c>
      <c r="G76" s="1" t="s">
        <v>17</v>
      </c>
      <c r="H76" s="1" t="s">
        <v>18</v>
      </c>
      <c r="I76" s="1">
        <v>5</v>
      </c>
      <c r="J76" s="1">
        <v>448</v>
      </c>
      <c r="K76" s="6">
        <f>Table1__2[[#This Row],[Quantity]]*Table1__2[[#This Row],[Unit_Price]]</f>
        <v>2240</v>
      </c>
    </row>
    <row r="77" spans="1:11" x14ac:dyDescent="0.35">
      <c r="A77" s="5" t="s">
        <v>77</v>
      </c>
      <c r="B77" s="48">
        <f>DATE(Table1__2[[#This Row],[Year]],Table1__2[[#This Row],[Month]],Table1__2[[#This Row],[Day]])</f>
        <v>45667</v>
      </c>
      <c r="C77" s="1">
        <v>10</v>
      </c>
      <c r="D77" s="1">
        <v>1</v>
      </c>
      <c r="E77" s="1">
        <v>2025</v>
      </c>
      <c r="F77" s="1" t="s">
        <v>25</v>
      </c>
      <c r="G77" s="1" t="s">
        <v>17</v>
      </c>
      <c r="H77" s="1" t="s">
        <v>18</v>
      </c>
      <c r="I77" s="1">
        <v>8</v>
      </c>
      <c r="J77" s="1">
        <v>276</v>
      </c>
      <c r="K77" s="6">
        <f>Table1__2[[#This Row],[Quantity]]*Table1__2[[#This Row],[Unit_Price]]</f>
        <v>2208</v>
      </c>
    </row>
    <row r="78" spans="1:11" x14ac:dyDescent="0.35">
      <c r="A78" s="5" t="s">
        <v>132</v>
      </c>
      <c r="B78" s="48">
        <f>DATE(Table1__2[[#This Row],[Year]],Table1__2[[#This Row],[Month]],Table1__2[[#This Row],[Day]])</f>
        <v>45661</v>
      </c>
      <c r="C78" s="1">
        <v>4</v>
      </c>
      <c r="D78" s="1">
        <v>1</v>
      </c>
      <c r="E78" s="1">
        <v>2025</v>
      </c>
      <c r="F78" s="1" t="s">
        <v>29</v>
      </c>
      <c r="G78" s="1" t="s">
        <v>30</v>
      </c>
      <c r="H78" s="1" t="s">
        <v>18</v>
      </c>
      <c r="I78" s="1">
        <v>6</v>
      </c>
      <c r="J78" s="1">
        <v>362</v>
      </c>
      <c r="K78" s="6">
        <f>Table1__2[[#This Row],[Quantity]]*Table1__2[[#This Row],[Unit_Price]]</f>
        <v>2172</v>
      </c>
    </row>
    <row r="79" spans="1:11" x14ac:dyDescent="0.35">
      <c r="A79" s="5" t="s">
        <v>58</v>
      </c>
      <c r="B79" s="48">
        <f>DATE(Table1__2[[#This Row],[Year]],Table1__2[[#This Row],[Month]],Table1__2[[#This Row],[Day]])</f>
        <v>45691</v>
      </c>
      <c r="C79" s="1">
        <v>3</v>
      </c>
      <c r="D79" s="1">
        <v>2</v>
      </c>
      <c r="E79" s="1">
        <v>2025</v>
      </c>
      <c r="F79" s="1" t="s">
        <v>25</v>
      </c>
      <c r="G79" s="1" t="s">
        <v>13</v>
      </c>
      <c r="H79" s="1" t="s">
        <v>14</v>
      </c>
      <c r="I79" s="1">
        <v>9</v>
      </c>
      <c r="J79" s="1">
        <v>241</v>
      </c>
      <c r="K79" s="6">
        <f>Table1__2[[#This Row],[Quantity]]*Table1__2[[#This Row],[Unit_Price]]</f>
        <v>2169</v>
      </c>
    </row>
    <row r="80" spans="1:11" x14ac:dyDescent="0.35">
      <c r="A80" s="5" t="s">
        <v>61</v>
      </c>
      <c r="B80" s="48">
        <f>DATE(Table1__2[[#This Row],[Year]],Table1__2[[#This Row],[Month]],Table1__2[[#This Row],[Day]])</f>
        <v>45709</v>
      </c>
      <c r="C80" s="1">
        <v>21</v>
      </c>
      <c r="D80" s="1">
        <v>2</v>
      </c>
      <c r="E80" s="1">
        <v>2025</v>
      </c>
      <c r="F80" s="1" t="s">
        <v>12</v>
      </c>
      <c r="G80" s="1" t="s">
        <v>32</v>
      </c>
      <c r="H80" s="1" t="s">
        <v>18</v>
      </c>
      <c r="I80" s="1">
        <v>10</v>
      </c>
      <c r="J80" s="1">
        <v>216</v>
      </c>
      <c r="K80" s="6">
        <f>Table1__2[[#This Row],[Quantity]]*Table1__2[[#This Row],[Unit_Price]]</f>
        <v>2160</v>
      </c>
    </row>
    <row r="81" spans="1:11" x14ac:dyDescent="0.35">
      <c r="A81" s="5" t="s">
        <v>171</v>
      </c>
      <c r="B81" s="48">
        <f>DATE(Table1__2[[#This Row],[Year]],Table1__2[[#This Row],[Month]],Table1__2[[#This Row],[Day]])</f>
        <v>45676</v>
      </c>
      <c r="C81" s="1">
        <v>19</v>
      </c>
      <c r="D81" s="1">
        <v>1</v>
      </c>
      <c r="E81" s="1">
        <v>2025</v>
      </c>
      <c r="F81" s="1" t="s">
        <v>12</v>
      </c>
      <c r="G81" s="1" t="s">
        <v>32</v>
      </c>
      <c r="H81" s="1" t="s">
        <v>18</v>
      </c>
      <c r="I81" s="1">
        <v>9</v>
      </c>
      <c r="J81" s="1">
        <v>237</v>
      </c>
      <c r="K81" s="6">
        <f>Table1__2[[#This Row],[Quantity]]*Table1__2[[#This Row],[Unit_Price]]</f>
        <v>2133</v>
      </c>
    </row>
    <row r="82" spans="1:11" x14ac:dyDescent="0.35">
      <c r="A82" s="5" t="s">
        <v>173</v>
      </c>
      <c r="B82" s="48">
        <f>DATE(Table1__2[[#This Row],[Year]],Table1__2[[#This Row],[Month]],Table1__2[[#This Row],[Day]])</f>
        <v>45715</v>
      </c>
      <c r="C82" s="1">
        <v>27</v>
      </c>
      <c r="D82" s="1">
        <v>2</v>
      </c>
      <c r="E82" s="1">
        <v>2025</v>
      </c>
      <c r="F82" s="1" t="s">
        <v>8</v>
      </c>
      <c r="G82" s="1" t="s">
        <v>17</v>
      </c>
      <c r="H82" s="1" t="s">
        <v>18</v>
      </c>
      <c r="I82" s="1">
        <v>4</v>
      </c>
      <c r="J82" s="1">
        <v>528</v>
      </c>
      <c r="K82" s="6">
        <f>Table1__2[[#This Row],[Quantity]]*Table1__2[[#This Row],[Unit_Price]]</f>
        <v>2112</v>
      </c>
    </row>
    <row r="83" spans="1:11" x14ac:dyDescent="0.35">
      <c r="A83" s="5" t="s">
        <v>157</v>
      </c>
      <c r="B83" s="48">
        <f>DATE(Table1__2[[#This Row],[Year]],Table1__2[[#This Row],[Month]],Table1__2[[#This Row],[Day]])</f>
        <v>45665</v>
      </c>
      <c r="C83" s="1">
        <v>8</v>
      </c>
      <c r="D83" s="1">
        <v>1</v>
      </c>
      <c r="E83" s="1">
        <v>2025</v>
      </c>
      <c r="F83" s="1" t="s">
        <v>25</v>
      </c>
      <c r="G83" s="1" t="s">
        <v>17</v>
      </c>
      <c r="H83" s="1" t="s">
        <v>18</v>
      </c>
      <c r="I83" s="1">
        <v>9</v>
      </c>
      <c r="J83" s="1">
        <v>231</v>
      </c>
      <c r="K83" s="6">
        <f>Table1__2[[#This Row],[Quantity]]*Table1__2[[#This Row],[Unit_Price]]</f>
        <v>2079</v>
      </c>
    </row>
    <row r="84" spans="1:11" x14ac:dyDescent="0.35">
      <c r="A84" s="5" t="s">
        <v>147</v>
      </c>
      <c r="B84" s="48">
        <f>DATE(Table1__2[[#This Row],[Year]],Table1__2[[#This Row],[Month]],Table1__2[[#This Row],[Day]])</f>
        <v>45715</v>
      </c>
      <c r="C84" s="1">
        <v>27</v>
      </c>
      <c r="D84" s="1">
        <v>2</v>
      </c>
      <c r="E84" s="1">
        <v>2025</v>
      </c>
      <c r="F84" s="1" t="s">
        <v>29</v>
      </c>
      <c r="G84" s="1" t="s">
        <v>30</v>
      </c>
      <c r="H84" s="1" t="s">
        <v>18</v>
      </c>
      <c r="I84" s="1">
        <v>3</v>
      </c>
      <c r="J84" s="1">
        <v>682</v>
      </c>
      <c r="K84" s="6">
        <f>Table1__2[[#This Row],[Quantity]]*Table1__2[[#This Row],[Unit_Price]]</f>
        <v>2046</v>
      </c>
    </row>
    <row r="85" spans="1:11" x14ac:dyDescent="0.35">
      <c r="A85" s="5" t="s">
        <v>215</v>
      </c>
      <c r="B85" s="48">
        <f>DATE(Table1__2[[#This Row],[Year]],Table1__2[[#This Row],[Month]],Table1__2[[#This Row],[Day]])</f>
        <v>45665</v>
      </c>
      <c r="C85" s="1">
        <v>8</v>
      </c>
      <c r="D85" s="1">
        <v>1</v>
      </c>
      <c r="E85" s="1">
        <v>2025</v>
      </c>
      <c r="F85" s="1" t="s">
        <v>29</v>
      </c>
      <c r="G85" s="1" t="s">
        <v>30</v>
      </c>
      <c r="H85" s="1" t="s">
        <v>18</v>
      </c>
      <c r="I85" s="1">
        <v>5</v>
      </c>
      <c r="J85" s="1">
        <v>408</v>
      </c>
      <c r="K85" s="6">
        <f>Table1__2[[#This Row],[Quantity]]*Table1__2[[#This Row],[Unit_Price]]</f>
        <v>2040</v>
      </c>
    </row>
    <row r="86" spans="1:11" x14ac:dyDescent="0.35">
      <c r="A86" s="5" t="s">
        <v>201</v>
      </c>
      <c r="B86" s="48">
        <f>DATE(Table1__2[[#This Row],[Year]],Table1__2[[#This Row],[Month]],Table1__2[[#This Row],[Day]])</f>
        <v>45665</v>
      </c>
      <c r="C86" s="1">
        <v>8</v>
      </c>
      <c r="D86" s="1">
        <v>1</v>
      </c>
      <c r="E86" s="1">
        <v>2025</v>
      </c>
      <c r="F86" s="1" t="s">
        <v>29</v>
      </c>
      <c r="G86" s="1" t="s">
        <v>27</v>
      </c>
      <c r="H86" s="1" t="s">
        <v>18</v>
      </c>
      <c r="I86" s="1">
        <v>3</v>
      </c>
      <c r="J86" s="1">
        <v>672</v>
      </c>
      <c r="K86" s="6">
        <f>Table1__2[[#This Row],[Quantity]]*Table1__2[[#This Row],[Unit_Price]]</f>
        <v>2016</v>
      </c>
    </row>
    <row r="87" spans="1:11" x14ac:dyDescent="0.35">
      <c r="A87" s="5" t="s">
        <v>33</v>
      </c>
      <c r="B87" s="48">
        <f>DATE(Table1__2[[#This Row],[Year]],Table1__2[[#This Row],[Month]],Table1__2[[#This Row],[Day]])</f>
        <v>45711</v>
      </c>
      <c r="C87" s="1">
        <v>23</v>
      </c>
      <c r="D87" s="1">
        <v>2</v>
      </c>
      <c r="E87" s="1">
        <v>2025</v>
      </c>
      <c r="F87" s="1" t="s">
        <v>8</v>
      </c>
      <c r="G87" s="1" t="s">
        <v>23</v>
      </c>
      <c r="H87" s="1" t="s">
        <v>10</v>
      </c>
      <c r="I87" s="1">
        <v>4</v>
      </c>
      <c r="J87" s="1">
        <v>503</v>
      </c>
      <c r="K87" s="6">
        <f>Table1__2[[#This Row],[Quantity]]*Table1__2[[#This Row],[Unit_Price]]</f>
        <v>2012</v>
      </c>
    </row>
    <row r="88" spans="1:11" x14ac:dyDescent="0.35">
      <c r="A88" s="5" t="s">
        <v>142</v>
      </c>
      <c r="B88" s="48">
        <f>DATE(Table1__2[[#This Row],[Year]],Table1__2[[#This Row],[Month]],Table1__2[[#This Row],[Day]])</f>
        <v>45702</v>
      </c>
      <c r="C88" s="1">
        <v>14</v>
      </c>
      <c r="D88" s="1">
        <v>2</v>
      </c>
      <c r="E88" s="1">
        <v>2025</v>
      </c>
      <c r="F88" s="1" t="s">
        <v>8</v>
      </c>
      <c r="G88" s="1" t="s">
        <v>32</v>
      </c>
      <c r="H88" s="1" t="s">
        <v>18</v>
      </c>
      <c r="I88" s="1">
        <v>7</v>
      </c>
      <c r="J88" s="1">
        <v>280</v>
      </c>
      <c r="K88" s="6">
        <f>Table1__2[[#This Row],[Quantity]]*Table1__2[[#This Row],[Unit_Price]]</f>
        <v>1960</v>
      </c>
    </row>
    <row r="89" spans="1:11" x14ac:dyDescent="0.35">
      <c r="A89" s="5" t="s">
        <v>121</v>
      </c>
      <c r="B89" s="48">
        <f>DATE(Table1__2[[#This Row],[Year]],Table1__2[[#This Row],[Month]],Table1__2[[#This Row],[Day]])</f>
        <v>45702</v>
      </c>
      <c r="C89" s="1">
        <v>14</v>
      </c>
      <c r="D89" s="1">
        <v>2</v>
      </c>
      <c r="E89" s="1">
        <v>2025</v>
      </c>
      <c r="F89" s="1" t="s">
        <v>8</v>
      </c>
      <c r="G89" s="1" t="s">
        <v>30</v>
      </c>
      <c r="H89" s="1" t="s">
        <v>18</v>
      </c>
      <c r="I89" s="1">
        <v>6</v>
      </c>
      <c r="J89" s="1">
        <v>326</v>
      </c>
      <c r="K89" s="6">
        <f>Table1__2[[#This Row],[Quantity]]*Table1__2[[#This Row],[Unit_Price]]</f>
        <v>1956</v>
      </c>
    </row>
    <row r="90" spans="1:11" x14ac:dyDescent="0.35">
      <c r="A90" s="5" t="s">
        <v>96</v>
      </c>
      <c r="B90" s="48">
        <f>DATE(Table1__2[[#This Row],[Year]],Table1__2[[#This Row],[Month]],Table1__2[[#This Row],[Day]])</f>
        <v>45671</v>
      </c>
      <c r="C90" s="1">
        <v>14</v>
      </c>
      <c r="D90" s="1">
        <v>1</v>
      </c>
      <c r="E90" s="1">
        <v>2025</v>
      </c>
      <c r="F90" s="1" t="s">
        <v>12</v>
      </c>
      <c r="G90" s="1" t="s">
        <v>17</v>
      </c>
      <c r="H90" s="1" t="s">
        <v>18</v>
      </c>
      <c r="I90" s="1">
        <v>5</v>
      </c>
      <c r="J90" s="1">
        <v>391</v>
      </c>
      <c r="K90" s="6">
        <f>Table1__2[[#This Row],[Quantity]]*Table1__2[[#This Row],[Unit_Price]]</f>
        <v>1955</v>
      </c>
    </row>
    <row r="91" spans="1:11" x14ac:dyDescent="0.35">
      <c r="A91" s="5" t="s">
        <v>20</v>
      </c>
      <c r="B91" s="48">
        <f>DATE(Table1__2[[#This Row],[Year]],Table1__2[[#This Row],[Month]],Table1__2[[#This Row],[Day]])</f>
        <v>45711</v>
      </c>
      <c r="C91" s="1">
        <v>23</v>
      </c>
      <c r="D91" s="1">
        <v>2</v>
      </c>
      <c r="E91" s="1">
        <v>2025</v>
      </c>
      <c r="F91" s="1" t="s">
        <v>8</v>
      </c>
      <c r="G91" s="1" t="s">
        <v>13</v>
      </c>
      <c r="H91" s="1" t="s">
        <v>14</v>
      </c>
      <c r="I91" s="1">
        <v>4</v>
      </c>
      <c r="J91" s="1">
        <v>486</v>
      </c>
      <c r="K91" s="6">
        <f>Table1__2[[#This Row],[Quantity]]*Table1__2[[#This Row],[Unit_Price]]</f>
        <v>1944</v>
      </c>
    </row>
    <row r="92" spans="1:11" x14ac:dyDescent="0.35">
      <c r="A92" s="5" t="s">
        <v>102</v>
      </c>
      <c r="B92" s="48">
        <f>DATE(Table1__2[[#This Row],[Year]],Table1__2[[#This Row],[Month]],Table1__2[[#This Row],[Day]])</f>
        <v>45680</v>
      </c>
      <c r="C92" s="1">
        <v>23</v>
      </c>
      <c r="D92" s="1">
        <v>1</v>
      </c>
      <c r="E92" s="1">
        <v>2025</v>
      </c>
      <c r="F92" s="1" t="s">
        <v>8</v>
      </c>
      <c r="G92" s="1" t="s">
        <v>27</v>
      </c>
      <c r="H92" s="1" t="s">
        <v>18</v>
      </c>
      <c r="I92" s="1">
        <v>5</v>
      </c>
      <c r="J92" s="1">
        <v>380</v>
      </c>
      <c r="K92" s="6">
        <f>Table1__2[[#This Row],[Quantity]]*Table1__2[[#This Row],[Unit_Price]]</f>
        <v>1900</v>
      </c>
    </row>
    <row r="93" spans="1:11" x14ac:dyDescent="0.35">
      <c r="A93" s="5" t="s">
        <v>176</v>
      </c>
      <c r="B93" s="48">
        <f>DATE(Table1__2[[#This Row],[Year]],Table1__2[[#This Row],[Month]],Table1__2[[#This Row],[Day]])</f>
        <v>45658</v>
      </c>
      <c r="C93" s="1">
        <v>1</v>
      </c>
      <c r="D93" s="1">
        <v>1</v>
      </c>
      <c r="E93" s="1">
        <v>2025</v>
      </c>
      <c r="F93" s="1" t="s">
        <v>8</v>
      </c>
      <c r="G93" s="1" t="s">
        <v>13</v>
      </c>
      <c r="H93" s="1" t="s">
        <v>14</v>
      </c>
      <c r="I93" s="1">
        <v>7</v>
      </c>
      <c r="J93" s="1">
        <v>271</v>
      </c>
      <c r="K93" s="6">
        <f>Table1__2[[#This Row],[Quantity]]*Table1__2[[#This Row],[Unit_Price]]</f>
        <v>1897</v>
      </c>
    </row>
    <row r="94" spans="1:11" x14ac:dyDescent="0.35">
      <c r="A94" s="5" t="s">
        <v>39</v>
      </c>
      <c r="B94" s="48">
        <f>DATE(Table1__2[[#This Row],[Year]],Table1__2[[#This Row],[Month]],Table1__2[[#This Row],[Day]])</f>
        <v>45693</v>
      </c>
      <c r="C94" s="1">
        <v>5</v>
      </c>
      <c r="D94" s="1">
        <v>2</v>
      </c>
      <c r="E94" s="1">
        <v>2025</v>
      </c>
      <c r="F94" s="1" t="s">
        <v>25</v>
      </c>
      <c r="G94" s="1" t="s">
        <v>23</v>
      </c>
      <c r="H94" s="1" t="s">
        <v>10</v>
      </c>
      <c r="I94" s="1">
        <v>4</v>
      </c>
      <c r="J94" s="1">
        <v>474</v>
      </c>
      <c r="K94" s="6">
        <f>Table1__2[[#This Row],[Quantity]]*Table1__2[[#This Row],[Unit_Price]]</f>
        <v>1896</v>
      </c>
    </row>
    <row r="95" spans="1:11" x14ac:dyDescent="0.35">
      <c r="A95" s="5" t="s">
        <v>64</v>
      </c>
      <c r="B95" s="48">
        <f>DATE(Table1__2[[#This Row],[Year]],Table1__2[[#This Row],[Month]],Table1__2[[#This Row],[Day]])</f>
        <v>45678</v>
      </c>
      <c r="C95" s="1">
        <v>21</v>
      </c>
      <c r="D95" s="1">
        <v>1</v>
      </c>
      <c r="E95" s="1">
        <v>2025</v>
      </c>
      <c r="F95" s="1" t="s">
        <v>29</v>
      </c>
      <c r="G95" s="1" t="s">
        <v>17</v>
      </c>
      <c r="H95" s="1" t="s">
        <v>18</v>
      </c>
      <c r="I95" s="1">
        <v>7</v>
      </c>
      <c r="J95" s="1">
        <v>269</v>
      </c>
      <c r="K95" s="6">
        <f>Table1__2[[#This Row],[Quantity]]*Table1__2[[#This Row],[Unit_Price]]</f>
        <v>1883</v>
      </c>
    </row>
    <row r="96" spans="1:11" x14ac:dyDescent="0.35">
      <c r="A96" s="5" t="s">
        <v>103</v>
      </c>
      <c r="B96" s="48">
        <f>DATE(Table1__2[[#This Row],[Year]],Table1__2[[#This Row],[Month]],Table1__2[[#This Row],[Day]])</f>
        <v>45673</v>
      </c>
      <c r="C96" s="1">
        <v>16</v>
      </c>
      <c r="D96" s="1">
        <v>1</v>
      </c>
      <c r="E96" s="1">
        <v>2025</v>
      </c>
      <c r="F96" s="1" t="s">
        <v>12</v>
      </c>
      <c r="G96" s="1" t="s">
        <v>32</v>
      </c>
      <c r="H96" s="1" t="s">
        <v>18</v>
      </c>
      <c r="I96" s="1">
        <v>9</v>
      </c>
      <c r="J96" s="1">
        <v>209</v>
      </c>
      <c r="K96" s="6">
        <f>Table1__2[[#This Row],[Quantity]]*Table1__2[[#This Row],[Unit_Price]]</f>
        <v>1881</v>
      </c>
    </row>
    <row r="97" spans="1:11" x14ac:dyDescent="0.35">
      <c r="A97" s="5" t="s">
        <v>138</v>
      </c>
      <c r="B97" s="48">
        <f>DATE(Table1__2[[#This Row],[Year]],Table1__2[[#This Row],[Month]],Table1__2[[#This Row],[Day]])</f>
        <v>45711</v>
      </c>
      <c r="C97" s="1">
        <v>23</v>
      </c>
      <c r="D97" s="1">
        <v>2</v>
      </c>
      <c r="E97" s="1">
        <v>2025</v>
      </c>
      <c r="F97" s="1" t="s">
        <v>29</v>
      </c>
      <c r="G97" s="1" t="s">
        <v>13</v>
      </c>
      <c r="H97" s="1" t="s">
        <v>14</v>
      </c>
      <c r="I97" s="1">
        <v>6</v>
      </c>
      <c r="J97" s="1">
        <v>311</v>
      </c>
      <c r="K97" s="6">
        <f>Table1__2[[#This Row],[Quantity]]*Table1__2[[#This Row],[Unit_Price]]</f>
        <v>1866</v>
      </c>
    </row>
    <row r="98" spans="1:11" x14ac:dyDescent="0.35">
      <c r="A98" s="5" t="s">
        <v>202</v>
      </c>
      <c r="B98" s="48">
        <f>DATE(Table1__2[[#This Row],[Year]],Table1__2[[#This Row],[Month]],Table1__2[[#This Row],[Day]])</f>
        <v>45711</v>
      </c>
      <c r="C98" s="1">
        <v>23</v>
      </c>
      <c r="D98" s="1">
        <v>2</v>
      </c>
      <c r="E98" s="1">
        <v>2025</v>
      </c>
      <c r="F98" s="1" t="s">
        <v>25</v>
      </c>
      <c r="G98" s="1" t="s">
        <v>23</v>
      </c>
      <c r="H98" s="1" t="s">
        <v>10</v>
      </c>
      <c r="I98" s="1">
        <v>6</v>
      </c>
      <c r="J98" s="1">
        <v>309</v>
      </c>
      <c r="K98" s="6">
        <f>Table1__2[[#This Row],[Quantity]]*Table1__2[[#This Row],[Unit_Price]]</f>
        <v>1854</v>
      </c>
    </row>
    <row r="99" spans="1:11" x14ac:dyDescent="0.35">
      <c r="A99" s="5" t="s">
        <v>118</v>
      </c>
      <c r="B99" s="48">
        <f>DATE(Table1__2[[#This Row],[Year]],Table1__2[[#This Row],[Month]],Table1__2[[#This Row],[Day]])</f>
        <v>45690</v>
      </c>
      <c r="C99" s="1">
        <v>2</v>
      </c>
      <c r="D99" s="1">
        <v>2</v>
      </c>
      <c r="E99" s="1">
        <v>2025</v>
      </c>
      <c r="F99" s="1" t="s">
        <v>25</v>
      </c>
      <c r="G99" s="1" t="s">
        <v>17</v>
      </c>
      <c r="H99" s="1" t="s">
        <v>18</v>
      </c>
      <c r="I99" s="1">
        <v>6</v>
      </c>
      <c r="J99" s="1">
        <v>300</v>
      </c>
      <c r="K99" s="6">
        <f>Table1__2[[#This Row],[Quantity]]*Table1__2[[#This Row],[Unit_Price]]</f>
        <v>1800</v>
      </c>
    </row>
    <row r="100" spans="1:11" x14ac:dyDescent="0.35">
      <c r="A100" s="5" t="s">
        <v>123</v>
      </c>
      <c r="B100" s="48">
        <f>DATE(Table1__2[[#This Row],[Year]],Table1__2[[#This Row],[Month]],Table1__2[[#This Row],[Day]])</f>
        <v>45709</v>
      </c>
      <c r="C100" s="1">
        <v>21</v>
      </c>
      <c r="D100" s="1">
        <v>2</v>
      </c>
      <c r="E100" s="1">
        <v>2025</v>
      </c>
      <c r="F100" s="1" t="s">
        <v>8</v>
      </c>
      <c r="G100" s="1" t="s">
        <v>27</v>
      </c>
      <c r="H100" s="1" t="s">
        <v>18</v>
      </c>
      <c r="I100" s="1">
        <v>7</v>
      </c>
      <c r="J100" s="1">
        <v>251</v>
      </c>
      <c r="K100" s="6">
        <f>Table1__2[[#This Row],[Quantity]]*Table1__2[[#This Row],[Unit_Price]]</f>
        <v>1757</v>
      </c>
    </row>
    <row r="101" spans="1:11" x14ac:dyDescent="0.35">
      <c r="A101" s="5" t="s">
        <v>112</v>
      </c>
      <c r="B101" s="48">
        <f>DATE(Table1__2[[#This Row],[Year]],Table1__2[[#This Row],[Month]],Table1__2[[#This Row],[Day]])</f>
        <v>45658</v>
      </c>
      <c r="C101" s="1">
        <v>1</v>
      </c>
      <c r="D101" s="1">
        <v>1</v>
      </c>
      <c r="E101" s="1">
        <v>2025</v>
      </c>
      <c r="F101" s="1" t="s">
        <v>12</v>
      </c>
      <c r="G101" s="1" t="s">
        <v>13</v>
      </c>
      <c r="H101" s="1" t="s">
        <v>14</v>
      </c>
      <c r="I101" s="1">
        <v>6</v>
      </c>
      <c r="J101" s="1">
        <v>284</v>
      </c>
      <c r="K101" s="6">
        <f>Table1__2[[#This Row],[Quantity]]*Table1__2[[#This Row],[Unit_Price]]</f>
        <v>1704</v>
      </c>
    </row>
    <row r="102" spans="1:11" x14ac:dyDescent="0.35">
      <c r="A102" s="5" t="s">
        <v>120</v>
      </c>
      <c r="B102" s="48">
        <f>DATE(Table1__2[[#This Row],[Year]],Table1__2[[#This Row],[Month]],Table1__2[[#This Row],[Day]])</f>
        <v>45712</v>
      </c>
      <c r="C102" s="1">
        <v>24</v>
      </c>
      <c r="D102" s="1">
        <v>2</v>
      </c>
      <c r="E102" s="1">
        <v>2025</v>
      </c>
      <c r="F102" s="1" t="s">
        <v>25</v>
      </c>
      <c r="G102" s="1" t="s">
        <v>23</v>
      </c>
      <c r="H102" s="1" t="s">
        <v>10</v>
      </c>
      <c r="I102" s="1">
        <v>5</v>
      </c>
      <c r="J102" s="1">
        <v>340</v>
      </c>
      <c r="K102" s="6">
        <f>Table1__2[[#This Row],[Quantity]]*Table1__2[[#This Row],[Unit_Price]]</f>
        <v>1700</v>
      </c>
    </row>
    <row r="103" spans="1:11" x14ac:dyDescent="0.35">
      <c r="A103" s="5" t="s">
        <v>193</v>
      </c>
      <c r="B103" s="48">
        <f>DATE(Table1__2[[#This Row],[Year]],Table1__2[[#This Row],[Month]],Table1__2[[#This Row],[Day]])</f>
        <v>45708</v>
      </c>
      <c r="C103" s="1">
        <v>20</v>
      </c>
      <c r="D103" s="1">
        <v>2</v>
      </c>
      <c r="E103" s="1">
        <v>2025</v>
      </c>
      <c r="F103" s="1" t="s">
        <v>12</v>
      </c>
      <c r="G103" s="1" t="s">
        <v>9</v>
      </c>
      <c r="H103" s="1" t="s">
        <v>10</v>
      </c>
      <c r="I103" s="1">
        <v>10</v>
      </c>
      <c r="J103" s="1">
        <v>169</v>
      </c>
      <c r="K103" s="6">
        <f>Table1__2[[#This Row],[Quantity]]*Table1__2[[#This Row],[Unit_Price]]</f>
        <v>1690</v>
      </c>
    </row>
    <row r="104" spans="1:11" x14ac:dyDescent="0.35">
      <c r="A104" s="5" t="s">
        <v>46</v>
      </c>
      <c r="B104" s="48">
        <f>DATE(Table1__2[[#This Row],[Year]],Table1__2[[#This Row],[Month]],Table1__2[[#This Row],[Day]])</f>
        <v>45683</v>
      </c>
      <c r="C104" s="1">
        <v>26</v>
      </c>
      <c r="D104" s="1">
        <v>1</v>
      </c>
      <c r="E104" s="1">
        <v>2025</v>
      </c>
      <c r="F104" s="1" t="s">
        <v>12</v>
      </c>
      <c r="G104" s="1" t="s">
        <v>13</v>
      </c>
      <c r="H104" s="1" t="s">
        <v>14</v>
      </c>
      <c r="I104" s="1">
        <v>4</v>
      </c>
      <c r="J104" s="1">
        <v>420</v>
      </c>
      <c r="K104" s="6">
        <f>Table1__2[[#This Row],[Quantity]]*Table1__2[[#This Row],[Unit_Price]]</f>
        <v>1680</v>
      </c>
    </row>
    <row r="105" spans="1:11" x14ac:dyDescent="0.35">
      <c r="A105" s="5" t="s">
        <v>80</v>
      </c>
      <c r="B105" s="48">
        <f>DATE(Table1__2[[#This Row],[Year]],Table1__2[[#This Row],[Month]],Table1__2[[#This Row],[Day]])</f>
        <v>45688</v>
      </c>
      <c r="C105" s="1">
        <v>31</v>
      </c>
      <c r="D105" s="1">
        <v>1</v>
      </c>
      <c r="E105" s="1">
        <v>2025</v>
      </c>
      <c r="F105" s="1" t="s">
        <v>25</v>
      </c>
      <c r="G105" s="1" t="s">
        <v>23</v>
      </c>
      <c r="H105" s="1" t="s">
        <v>10</v>
      </c>
      <c r="I105" s="1">
        <v>2</v>
      </c>
      <c r="J105" s="1">
        <v>823</v>
      </c>
      <c r="K105" s="6">
        <f>Table1__2[[#This Row],[Quantity]]*Table1__2[[#This Row],[Unit_Price]]</f>
        <v>1646</v>
      </c>
    </row>
    <row r="106" spans="1:11" x14ac:dyDescent="0.35">
      <c r="A106" s="5" t="s">
        <v>133</v>
      </c>
      <c r="B106" s="48">
        <f>DATE(Table1__2[[#This Row],[Year]],Table1__2[[#This Row],[Month]],Table1__2[[#This Row],[Day]])</f>
        <v>45677</v>
      </c>
      <c r="C106" s="1">
        <v>20</v>
      </c>
      <c r="D106" s="1">
        <v>1</v>
      </c>
      <c r="E106" s="1">
        <v>2025</v>
      </c>
      <c r="F106" s="1" t="s">
        <v>25</v>
      </c>
      <c r="G106" s="1" t="s">
        <v>17</v>
      </c>
      <c r="H106" s="1" t="s">
        <v>18</v>
      </c>
      <c r="I106" s="1">
        <v>5</v>
      </c>
      <c r="J106" s="1">
        <v>328</v>
      </c>
      <c r="K106" s="6">
        <f>Table1__2[[#This Row],[Quantity]]*Table1__2[[#This Row],[Unit_Price]]</f>
        <v>1640</v>
      </c>
    </row>
    <row r="107" spans="1:11" x14ac:dyDescent="0.35">
      <c r="A107" s="5" t="s">
        <v>70</v>
      </c>
      <c r="B107" s="48">
        <f>DATE(Table1__2[[#This Row],[Year]],Table1__2[[#This Row],[Month]],Table1__2[[#This Row],[Day]])</f>
        <v>45693</v>
      </c>
      <c r="C107" s="1">
        <v>5</v>
      </c>
      <c r="D107" s="1">
        <v>2</v>
      </c>
      <c r="E107" s="1">
        <v>2025</v>
      </c>
      <c r="F107" s="1" t="s">
        <v>8</v>
      </c>
      <c r="G107" s="1" t="s">
        <v>17</v>
      </c>
      <c r="H107" s="1" t="s">
        <v>18</v>
      </c>
      <c r="I107" s="1">
        <v>9</v>
      </c>
      <c r="J107" s="1">
        <v>182</v>
      </c>
      <c r="K107" s="6">
        <f>Table1__2[[#This Row],[Quantity]]*Table1__2[[#This Row],[Unit_Price]]</f>
        <v>1638</v>
      </c>
    </row>
    <row r="108" spans="1:11" x14ac:dyDescent="0.35">
      <c r="A108" s="5" t="s">
        <v>179</v>
      </c>
      <c r="B108" s="48">
        <f>DATE(Table1__2[[#This Row],[Year]],Table1__2[[#This Row],[Month]],Table1__2[[#This Row],[Day]])</f>
        <v>45700</v>
      </c>
      <c r="C108" s="1">
        <v>12</v>
      </c>
      <c r="D108" s="1">
        <v>2</v>
      </c>
      <c r="E108" s="1">
        <v>2025</v>
      </c>
      <c r="F108" s="1" t="s">
        <v>29</v>
      </c>
      <c r="G108" s="1" t="s">
        <v>17</v>
      </c>
      <c r="H108" s="1" t="s">
        <v>18</v>
      </c>
      <c r="I108" s="1">
        <v>7</v>
      </c>
      <c r="J108" s="1">
        <v>234</v>
      </c>
      <c r="K108" s="6">
        <f>Table1__2[[#This Row],[Quantity]]*Table1__2[[#This Row],[Unit_Price]]</f>
        <v>1638</v>
      </c>
    </row>
    <row r="109" spans="1:11" x14ac:dyDescent="0.35">
      <c r="A109" s="5" t="s">
        <v>148</v>
      </c>
      <c r="B109" s="48">
        <f>DATE(Table1__2[[#This Row],[Year]],Table1__2[[#This Row],[Month]],Table1__2[[#This Row],[Day]])</f>
        <v>45688</v>
      </c>
      <c r="C109" s="1">
        <v>31</v>
      </c>
      <c r="D109" s="1">
        <v>1</v>
      </c>
      <c r="E109" s="1">
        <v>2025</v>
      </c>
      <c r="F109" s="1" t="s">
        <v>25</v>
      </c>
      <c r="G109" s="1" t="s">
        <v>30</v>
      </c>
      <c r="H109" s="1" t="s">
        <v>18</v>
      </c>
      <c r="I109" s="1">
        <v>3</v>
      </c>
      <c r="J109" s="1">
        <v>544</v>
      </c>
      <c r="K109" s="6">
        <f>Table1__2[[#This Row],[Quantity]]*Table1__2[[#This Row],[Unit_Price]]</f>
        <v>1632</v>
      </c>
    </row>
    <row r="110" spans="1:11" x14ac:dyDescent="0.35">
      <c r="A110" s="5" t="s">
        <v>213</v>
      </c>
      <c r="B110" s="48">
        <f>DATE(Table1__2[[#This Row],[Year]],Table1__2[[#This Row],[Month]],Table1__2[[#This Row],[Day]])</f>
        <v>45707</v>
      </c>
      <c r="C110" s="1">
        <v>19</v>
      </c>
      <c r="D110" s="1">
        <v>2</v>
      </c>
      <c r="E110" s="1">
        <v>2025</v>
      </c>
      <c r="F110" s="1" t="s">
        <v>25</v>
      </c>
      <c r="G110" s="1" t="s">
        <v>9</v>
      </c>
      <c r="H110" s="1" t="s">
        <v>10</v>
      </c>
      <c r="I110" s="1">
        <v>7</v>
      </c>
      <c r="J110" s="1">
        <v>233</v>
      </c>
      <c r="K110" s="6">
        <f>Table1__2[[#This Row],[Quantity]]*Table1__2[[#This Row],[Unit_Price]]</f>
        <v>1631</v>
      </c>
    </row>
    <row r="111" spans="1:11" x14ac:dyDescent="0.35">
      <c r="A111" s="5" t="s">
        <v>113</v>
      </c>
      <c r="B111" s="48">
        <f>DATE(Table1__2[[#This Row],[Year]],Table1__2[[#This Row],[Month]],Table1__2[[#This Row],[Day]])</f>
        <v>45693</v>
      </c>
      <c r="C111" s="1">
        <v>5</v>
      </c>
      <c r="D111" s="1">
        <v>2</v>
      </c>
      <c r="E111" s="1">
        <v>2025</v>
      </c>
      <c r="F111" s="1" t="s">
        <v>25</v>
      </c>
      <c r="G111" s="1" t="s">
        <v>32</v>
      </c>
      <c r="H111" s="1" t="s">
        <v>18</v>
      </c>
      <c r="I111" s="1">
        <v>2</v>
      </c>
      <c r="J111" s="1">
        <v>814</v>
      </c>
      <c r="K111" s="6">
        <f>Table1__2[[#This Row],[Quantity]]*Table1__2[[#This Row],[Unit_Price]]</f>
        <v>1628</v>
      </c>
    </row>
    <row r="112" spans="1:11" x14ac:dyDescent="0.35">
      <c r="A112" s="5" t="s">
        <v>151</v>
      </c>
      <c r="B112" s="48">
        <f>DATE(Table1__2[[#This Row],[Year]],Table1__2[[#This Row],[Month]],Table1__2[[#This Row],[Day]])</f>
        <v>45713</v>
      </c>
      <c r="C112" s="1">
        <v>25</v>
      </c>
      <c r="D112" s="1">
        <v>2</v>
      </c>
      <c r="E112" s="1">
        <v>2025</v>
      </c>
      <c r="F112" s="1" t="s">
        <v>29</v>
      </c>
      <c r="G112" s="1" t="s">
        <v>27</v>
      </c>
      <c r="H112" s="1" t="s">
        <v>18</v>
      </c>
      <c r="I112" s="1">
        <v>2</v>
      </c>
      <c r="J112" s="1">
        <v>793</v>
      </c>
      <c r="K112" s="6">
        <f>Table1__2[[#This Row],[Quantity]]*Table1__2[[#This Row],[Unit_Price]]</f>
        <v>1586</v>
      </c>
    </row>
    <row r="113" spans="1:11" x14ac:dyDescent="0.35">
      <c r="A113" s="5" t="s">
        <v>65</v>
      </c>
      <c r="B113" s="48">
        <f>DATE(Table1__2[[#This Row],[Year]],Table1__2[[#This Row],[Month]],Table1__2[[#This Row],[Day]])</f>
        <v>45669</v>
      </c>
      <c r="C113" s="1">
        <v>12</v>
      </c>
      <c r="D113" s="1">
        <v>1</v>
      </c>
      <c r="E113" s="1">
        <v>2025</v>
      </c>
      <c r="F113" s="1" t="s">
        <v>25</v>
      </c>
      <c r="G113" s="1" t="s">
        <v>27</v>
      </c>
      <c r="H113" s="1" t="s">
        <v>18</v>
      </c>
      <c r="I113" s="1">
        <v>2</v>
      </c>
      <c r="J113" s="1">
        <v>784</v>
      </c>
      <c r="K113" s="6">
        <f>Table1__2[[#This Row],[Quantity]]*Table1__2[[#This Row],[Unit_Price]]</f>
        <v>1568</v>
      </c>
    </row>
    <row r="114" spans="1:11" x14ac:dyDescent="0.35">
      <c r="A114" s="5" t="s">
        <v>158</v>
      </c>
      <c r="B114" s="48">
        <f>DATE(Table1__2[[#This Row],[Year]],Table1__2[[#This Row],[Month]],Table1__2[[#This Row],[Day]])</f>
        <v>45661</v>
      </c>
      <c r="C114" s="1">
        <v>4</v>
      </c>
      <c r="D114" s="1">
        <v>1</v>
      </c>
      <c r="E114" s="1">
        <v>2025</v>
      </c>
      <c r="F114" s="1" t="s">
        <v>25</v>
      </c>
      <c r="G114" s="1" t="s">
        <v>17</v>
      </c>
      <c r="H114" s="1" t="s">
        <v>18</v>
      </c>
      <c r="I114" s="1">
        <v>8</v>
      </c>
      <c r="J114" s="1">
        <v>191</v>
      </c>
      <c r="K114" s="6">
        <f>Table1__2[[#This Row],[Quantity]]*Table1__2[[#This Row],[Unit_Price]]</f>
        <v>1528</v>
      </c>
    </row>
    <row r="115" spans="1:11" x14ac:dyDescent="0.35">
      <c r="A115" s="5" t="s">
        <v>124</v>
      </c>
      <c r="B115" s="48">
        <f>DATE(Table1__2[[#This Row],[Year]],Table1__2[[#This Row],[Month]],Table1__2[[#This Row],[Day]])</f>
        <v>45717</v>
      </c>
      <c r="C115" s="1">
        <v>1</v>
      </c>
      <c r="D115" s="1">
        <v>3</v>
      </c>
      <c r="E115" s="1">
        <v>2025</v>
      </c>
      <c r="F115" s="1" t="s">
        <v>25</v>
      </c>
      <c r="G115" s="1" t="s">
        <v>9</v>
      </c>
      <c r="H115" s="1" t="s">
        <v>10</v>
      </c>
      <c r="I115" s="1">
        <v>5</v>
      </c>
      <c r="J115" s="1">
        <v>303</v>
      </c>
      <c r="K115" s="6">
        <f>Table1__2[[#This Row],[Quantity]]*Table1__2[[#This Row],[Unit_Price]]</f>
        <v>1515</v>
      </c>
    </row>
    <row r="116" spans="1:11" x14ac:dyDescent="0.35">
      <c r="A116" s="5" t="s">
        <v>68</v>
      </c>
      <c r="B116" s="48">
        <f>DATE(Table1__2[[#This Row],[Year]],Table1__2[[#This Row],[Month]],Table1__2[[#This Row],[Day]])</f>
        <v>45665</v>
      </c>
      <c r="C116" s="1">
        <v>8</v>
      </c>
      <c r="D116" s="1">
        <v>1</v>
      </c>
      <c r="E116" s="1">
        <v>2025</v>
      </c>
      <c r="F116" s="1" t="s">
        <v>29</v>
      </c>
      <c r="G116" s="1" t="s">
        <v>17</v>
      </c>
      <c r="H116" s="1" t="s">
        <v>18</v>
      </c>
      <c r="I116" s="1">
        <v>10</v>
      </c>
      <c r="J116" s="1">
        <v>150</v>
      </c>
      <c r="K116" s="6">
        <f>Table1__2[[#This Row],[Quantity]]*Table1__2[[#This Row],[Unit_Price]]</f>
        <v>1500</v>
      </c>
    </row>
    <row r="117" spans="1:11" x14ac:dyDescent="0.35">
      <c r="A117" s="5" t="s">
        <v>52</v>
      </c>
      <c r="B117" s="48">
        <f>DATE(Table1__2[[#This Row],[Year]],Table1__2[[#This Row],[Month]],Table1__2[[#This Row],[Day]])</f>
        <v>45698</v>
      </c>
      <c r="C117" s="1">
        <v>10</v>
      </c>
      <c r="D117" s="1">
        <v>2</v>
      </c>
      <c r="E117" s="1">
        <v>2025</v>
      </c>
      <c r="F117" s="1" t="s">
        <v>8</v>
      </c>
      <c r="G117" s="1" t="s">
        <v>27</v>
      </c>
      <c r="H117" s="1" t="s">
        <v>18</v>
      </c>
      <c r="I117" s="1">
        <v>5</v>
      </c>
      <c r="J117" s="1">
        <v>298</v>
      </c>
      <c r="K117" s="6">
        <f>Table1__2[[#This Row],[Quantity]]*Table1__2[[#This Row],[Unit_Price]]</f>
        <v>1490</v>
      </c>
    </row>
    <row r="118" spans="1:11" x14ac:dyDescent="0.35">
      <c r="A118" s="5" t="s">
        <v>22</v>
      </c>
      <c r="B118" s="48">
        <f>DATE(Table1__2[[#This Row],[Year]],Table1__2[[#This Row],[Month]],Table1__2[[#This Row],[Day]])</f>
        <v>45715</v>
      </c>
      <c r="C118" s="1">
        <v>27</v>
      </c>
      <c r="D118" s="1">
        <v>2</v>
      </c>
      <c r="E118" s="1">
        <v>2025</v>
      </c>
      <c r="F118" s="1" t="s">
        <v>12</v>
      </c>
      <c r="G118" s="1" t="s">
        <v>23</v>
      </c>
      <c r="H118" s="1" t="s">
        <v>10</v>
      </c>
      <c r="I118" s="1">
        <v>2</v>
      </c>
      <c r="J118" s="1">
        <v>737</v>
      </c>
      <c r="K118" s="6">
        <f>Table1__2[[#This Row],[Quantity]]*Table1__2[[#This Row],[Unit_Price]]</f>
        <v>1474</v>
      </c>
    </row>
    <row r="119" spans="1:11" x14ac:dyDescent="0.35">
      <c r="A119" s="5" t="s">
        <v>218</v>
      </c>
      <c r="B119" s="48">
        <f>DATE(Table1__2[[#This Row],[Year]],Table1__2[[#This Row],[Month]],Table1__2[[#This Row],[Day]])</f>
        <v>45699</v>
      </c>
      <c r="C119" s="1">
        <v>11</v>
      </c>
      <c r="D119" s="1">
        <v>2</v>
      </c>
      <c r="E119" s="1">
        <v>2025</v>
      </c>
      <c r="F119" s="1" t="s">
        <v>8</v>
      </c>
      <c r="G119" s="1" t="s">
        <v>9</v>
      </c>
      <c r="H119" s="1" t="s">
        <v>10</v>
      </c>
      <c r="I119" s="1">
        <v>4</v>
      </c>
      <c r="J119" s="1">
        <v>363</v>
      </c>
      <c r="K119" s="6">
        <f>Table1__2[[#This Row],[Quantity]]*Table1__2[[#This Row],[Unit_Price]]</f>
        <v>1452</v>
      </c>
    </row>
    <row r="120" spans="1:11" x14ac:dyDescent="0.35">
      <c r="A120" s="5" t="s">
        <v>150</v>
      </c>
      <c r="B120" s="48">
        <f>DATE(Table1__2[[#This Row],[Year]],Table1__2[[#This Row],[Month]],Table1__2[[#This Row],[Day]])</f>
        <v>45687</v>
      </c>
      <c r="C120" s="1">
        <v>30</v>
      </c>
      <c r="D120" s="1">
        <v>1</v>
      </c>
      <c r="E120" s="1">
        <v>2025</v>
      </c>
      <c r="F120" s="1" t="s">
        <v>12</v>
      </c>
      <c r="G120" s="1" t="s">
        <v>23</v>
      </c>
      <c r="H120" s="1" t="s">
        <v>10</v>
      </c>
      <c r="I120" s="1">
        <v>2</v>
      </c>
      <c r="J120" s="1">
        <v>724</v>
      </c>
      <c r="K120" s="6">
        <f>Table1__2[[#This Row],[Quantity]]*Table1__2[[#This Row],[Unit_Price]]</f>
        <v>1448</v>
      </c>
    </row>
    <row r="121" spans="1:11" x14ac:dyDescent="0.35">
      <c r="A121" s="5" t="s">
        <v>166</v>
      </c>
      <c r="B121" s="48">
        <f>DATE(Table1__2[[#This Row],[Year]],Table1__2[[#This Row],[Month]],Table1__2[[#This Row],[Day]])</f>
        <v>45700</v>
      </c>
      <c r="C121" s="1">
        <v>12</v>
      </c>
      <c r="D121" s="1">
        <v>2</v>
      </c>
      <c r="E121" s="1">
        <v>2025</v>
      </c>
      <c r="F121" s="1" t="s">
        <v>8</v>
      </c>
      <c r="G121" s="1" t="s">
        <v>23</v>
      </c>
      <c r="H121" s="1" t="s">
        <v>10</v>
      </c>
      <c r="I121" s="1">
        <v>2</v>
      </c>
      <c r="J121" s="1">
        <v>722</v>
      </c>
      <c r="K121" s="6">
        <f>Table1__2[[#This Row],[Quantity]]*Table1__2[[#This Row],[Unit_Price]]</f>
        <v>1444</v>
      </c>
    </row>
    <row r="122" spans="1:11" x14ac:dyDescent="0.35">
      <c r="A122" s="5" t="s">
        <v>106</v>
      </c>
      <c r="B122" s="48">
        <f>DATE(Table1__2[[#This Row],[Year]],Table1__2[[#This Row],[Month]],Table1__2[[#This Row],[Day]])</f>
        <v>45713</v>
      </c>
      <c r="C122" s="1">
        <v>25</v>
      </c>
      <c r="D122" s="1">
        <v>2</v>
      </c>
      <c r="E122" s="1">
        <v>2025</v>
      </c>
      <c r="F122" s="1" t="s">
        <v>12</v>
      </c>
      <c r="G122" s="1" t="s">
        <v>9</v>
      </c>
      <c r="H122" s="1" t="s">
        <v>10</v>
      </c>
      <c r="I122" s="1">
        <v>6</v>
      </c>
      <c r="J122" s="1">
        <v>239</v>
      </c>
      <c r="K122" s="6">
        <f>Table1__2[[#This Row],[Quantity]]*Table1__2[[#This Row],[Unit_Price]]</f>
        <v>1434</v>
      </c>
    </row>
    <row r="123" spans="1:11" x14ac:dyDescent="0.35">
      <c r="A123" s="5" t="s">
        <v>73</v>
      </c>
      <c r="B123" s="48">
        <f>DATE(Table1__2[[#This Row],[Year]],Table1__2[[#This Row],[Month]],Table1__2[[#This Row],[Day]])</f>
        <v>45665</v>
      </c>
      <c r="C123" s="1">
        <v>8</v>
      </c>
      <c r="D123" s="1">
        <v>1</v>
      </c>
      <c r="E123" s="1">
        <v>2025</v>
      </c>
      <c r="F123" s="1" t="s">
        <v>8</v>
      </c>
      <c r="G123" s="1" t="s">
        <v>27</v>
      </c>
      <c r="H123" s="1" t="s">
        <v>18</v>
      </c>
      <c r="I123" s="1">
        <v>9</v>
      </c>
      <c r="J123" s="1">
        <v>159</v>
      </c>
      <c r="K123" s="6">
        <f>Table1__2[[#This Row],[Quantity]]*Table1__2[[#This Row],[Unit_Price]]</f>
        <v>1431</v>
      </c>
    </row>
    <row r="124" spans="1:11" x14ac:dyDescent="0.35">
      <c r="A124" s="5" t="s">
        <v>36</v>
      </c>
      <c r="B124" s="48">
        <f>DATE(Table1__2[[#This Row],[Year]],Table1__2[[#This Row],[Month]],Table1__2[[#This Row],[Day]])</f>
        <v>45714</v>
      </c>
      <c r="C124" s="1">
        <v>26</v>
      </c>
      <c r="D124" s="1">
        <v>2</v>
      </c>
      <c r="E124" s="1">
        <v>2025</v>
      </c>
      <c r="F124" s="1" t="s">
        <v>8</v>
      </c>
      <c r="G124" s="1" t="s">
        <v>23</v>
      </c>
      <c r="H124" s="1" t="s">
        <v>10</v>
      </c>
      <c r="I124" s="1">
        <v>6</v>
      </c>
      <c r="J124" s="1">
        <v>235</v>
      </c>
      <c r="K124" s="6">
        <f>Table1__2[[#This Row],[Quantity]]*Table1__2[[#This Row],[Unit_Price]]</f>
        <v>1410</v>
      </c>
    </row>
    <row r="125" spans="1:11" x14ac:dyDescent="0.35">
      <c r="A125" s="5" t="s">
        <v>66</v>
      </c>
      <c r="B125" s="48">
        <f>DATE(Table1__2[[#This Row],[Year]],Table1__2[[#This Row],[Month]],Table1__2[[#This Row],[Day]])</f>
        <v>45668</v>
      </c>
      <c r="C125" s="1">
        <v>11</v>
      </c>
      <c r="D125" s="1">
        <v>1</v>
      </c>
      <c r="E125" s="1">
        <v>2025</v>
      </c>
      <c r="F125" s="1" t="s">
        <v>8</v>
      </c>
      <c r="G125" s="1" t="s">
        <v>17</v>
      </c>
      <c r="H125" s="1" t="s">
        <v>18</v>
      </c>
      <c r="I125" s="1">
        <v>5</v>
      </c>
      <c r="J125" s="1">
        <v>282</v>
      </c>
      <c r="K125" s="6">
        <f>Table1__2[[#This Row],[Quantity]]*Table1__2[[#This Row],[Unit_Price]]</f>
        <v>1410</v>
      </c>
    </row>
    <row r="126" spans="1:11" x14ac:dyDescent="0.35">
      <c r="A126" s="5" t="s">
        <v>31</v>
      </c>
      <c r="B126" s="48">
        <f>DATE(Table1__2[[#This Row],[Year]],Table1__2[[#This Row],[Month]],Table1__2[[#This Row],[Day]])</f>
        <v>45679</v>
      </c>
      <c r="C126" s="1">
        <v>22</v>
      </c>
      <c r="D126" s="1">
        <v>1</v>
      </c>
      <c r="E126" s="1">
        <v>2025</v>
      </c>
      <c r="F126" s="1" t="s">
        <v>25</v>
      </c>
      <c r="G126" s="1" t="s">
        <v>32</v>
      </c>
      <c r="H126" s="1" t="s">
        <v>18</v>
      </c>
      <c r="I126" s="1">
        <v>7</v>
      </c>
      <c r="J126" s="1">
        <v>194</v>
      </c>
      <c r="K126" s="6">
        <f>Table1__2[[#This Row],[Quantity]]*Table1__2[[#This Row],[Unit_Price]]</f>
        <v>1358</v>
      </c>
    </row>
    <row r="127" spans="1:11" x14ac:dyDescent="0.35">
      <c r="A127" s="5" t="s">
        <v>95</v>
      </c>
      <c r="B127" s="48">
        <f>DATE(Table1__2[[#This Row],[Year]],Table1__2[[#This Row],[Month]],Table1__2[[#This Row],[Day]])</f>
        <v>45659</v>
      </c>
      <c r="C127" s="1">
        <v>2</v>
      </c>
      <c r="D127" s="1">
        <v>1</v>
      </c>
      <c r="E127" s="1">
        <v>2025</v>
      </c>
      <c r="F127" s="1" t="s">
        <v>25</v>
      </c>
      <c r="G127" s="1" t="s">
        <v>30</v>
      </c>
      <c r="H127" s="1" t="s">
        <v>18</v>
      </c>
      <c r="I127" s="1">
        <v>3</v>
      </c>
      <c r="J127" s="1">
        <v>452</v>
      </c>
      <c r="K127" s="6">
        <f>Table1__2[[#This Row],[Quantity]]*Table1__2[[#This Row],[Unit_Price]]</f>
        <v>1356</v>
      </c>
    </row>
    <row r="128" spans="1:11" x14ac:dyDescent="0.35">
      <c r="A128" s="5" t="s">
        <v>169</v>
      </c>
      <c r="B128" s="48">
        <f>DATE(Table1__2[[#This Row],[Year]],Table1__2[[#This Row],[Month]],Table1__2[[#This Row],[Day]])</f>
        <v>45670</v>
      </c>
      <c r="C128" s="1">
        <v>13</v>
      </c>
      <c r="D128" s="1">
        <v>1</v>
      </c>
      <c r="E128" s="1">
        <v>2025</v>
      </c>
      <c r="F128" s="1" t="s">
        <v>29</v>
      </c>
      <c r="G128" s="1" t="s">
        <v>32</v>
      </c>
      <c r="H128" s="1" t="s">
        <v>18</v>
      </c>
      <c r="I128" s="1">
        <v>4</v>
      </c>
      <c r="J128" s="1">
        <v>328</v>
      </c>
      <c r="K128" s="6">
        <f>Table1__2[[#This Row],[Quantity]]*Table1__2[[#This Row],[Unit_Price]]</f>
        <v>1312</v>
      </c>
    </row>
    <row r="129" spans="1:11" x14ac:dyDescent="0.35">
      <c r="A129" s="5" t="s">
        <v>50</v>
      </c>
      <c r="B129" s="48">
        <f>DATE(Table1__2[[#This Row],[Year]],Table1__2[[#This Row],[Month]],Table1__2[[#This Row],[Day]])</f>
        <v>45682</v>
      </c>
      <c r="C129" s="1">
        <v>25</v>
      </c>
      <c r="D129" s="1">
        <v>1</v>
      </c>
      <c r="E129" s="1">
        <v>2025</v>
      </c>
      <c r="F129" s="1" t="s">
        <v>25</v>
      </c>
      <c r="G129" s="1" t="s">
        <v>17</v>
      </c>
      <c r="H129" s="1" t="s">
        <v>18</v>
      </c>
      <c r="I129" s="1">
        <v>10</v>
      </c>
      <c r="J129" s="1">
        <v>131</v>
      </c>
      <c r="K129" s="6">
        <f>Table1__2[[#This Row],[Quantity]]*Table1__2[[#This Row],[Unit_Price]]</f>
        <v>1310</v>
      </c>
    </row>
    <row r="130" spans="1:11" x14ac:dyDescent="0.35">
      <c r="A130" s="5" t="s">
        <v>214</v>
      </c>
      <c r="B130" s="48">
        <f>DATE(Table1__2[[#This Row],[Year]],Table1__2[[#This Row],[Month]],Table1__2[[#This Row],[Day]])</f>
        <v>45669</v>
      </c>
      <c r="C130" s="1">
        <v>12</v>
      </c>
      <c r="D130" s="1">
        <v>1</v>
      </c>
      <c r="E130" s="1">
        <v>2025</v>
      </c>
      <c r="F130" s="1" t="s">
        <v>8</v>
      </c>
      <c r="G130" s="1" t="s">
        <v>30</v>
      </c>
      <c r="H130" s="1" t="s">
        <v>18</v>
      </c>
      <c r="I130" s="1">
        <v>2</v>
      </c>
      <c r="J130" s="1">
        <v>655</v>
      </c>
      <c r="K130" s="6">
        <f>Table1__2[[#This Row],[Quantity]]*Table1__2[[#This Row],[Unit_Price]]</f>
        <v>1310</v>
      </c>
    </row>
    <row r="131" spans="1:11" x14ac:dyDescent="0.35">
      <c r="A131" s="5" t="s">
        <v>163</v>
      </c>
      <c r="B131" s="48">
        <f>DATE(Table1__2[[#This Row],[Year]],Table1__2[[#This Row],[Month]],Table1__2[[#This Row],[Day]])</f>
        <v>45685</v>
      </c>
      <c r="C131" s="1">
        <v>28</v>
      </c>
      <c r="D131" s="1">
        <v>1</v>
      </c>
      <c r="E131" s="1">
        <v>2025</v>
      </c>
      <c r="F131" s="1" t="s">
        <v>25</v>
      </c>
      <c r="G131" s="1" t="s">
        <v>23</v>
      </c>
      <c r="H131" s="1" t="s">
        <v>10</v>
      </c>
      <c r="I131" s="1">
        <v>2</v>
      </c>
      <c r="J131" s="1">
        <v>645</v>
      </c>
      <c r="K131" s="6">
        <f>Table1__2[[#This Row],[Quantity]]*Table1__2[[#This Row],[Unit_Price]]</f>
        <v>1290</v>
      </c>
    </row>
    <row r="132" spans="1:11" x14ac:dyDescent="0.35">
      <c r="A132" s="5" t="s">
        <v>75</v>
      </c>
      <c r="B132" s="48">
        <f>DATE(Table1__2[[#This Row],[Year]],Table1__2[[#This Row],[Month]],Table1__2[[#This Row],[Day]])</f>
        <v>45694</v>
      </c>
      <c r="C132" s="1">
        <v>6</v>
      </c>
      <c r="D132" s="1">
        <v>2</v>
      </c>
      <c r="E132" s="1">
        <v>2025</v>
      </c>
      <c r="F132" s="1" t="s">
        <v>8</v>
      </c>
      <c r="G132" s="1" t="s">
        <v>23</v>
      </c>
      <c r="H132" s="1" t="s">
        <v>10</v>
      </c>
      <c r="I132" s="1">
        <v>3</v>
      </c>
      <c r="J132" s="1">
        <v>427</v>
      </c>
      <c r="K132" s="6">
        <f>Table1__2[[#This Row],[Quantity]]*Table1__2[[#This Row],[Unit_Price]]</f>
        <v>1281</v>
      </c>
    </row>
    <row r="133" spans="1:11" x14ac:dyDescent="0.35">
      <c r="A133" s="5" t="s">
        <v>220</v>
      </c>
      <c r="B133" s="48">
        <f>DATE(Table1__2[[#This Row],[Year]],Table1__2[[#This Row],[Month]],Table1__2[[#This Row],[Day]])</f>
        <v>45658</v>
      </c>
      <c r="C133" s="1">
        <v>1</v>
      </c>
      <c r="D133" s="1">
        <v>1</v>
      </c>
      <c r="E133" s="1">
        <v>2025</v>
      </c>
      <c r="F133" s="1" t="s">
        <v>25</v>
      </c>
      <c r="G133" s="1" t="s">
        <v>30</v>
      </c>
      <c r="H133" s="1" t="s">
        <v>18</v>
      </c>
      <c r="I133" s="1">
        <v>2</v>
      </c>
      <c r="J133" s="1">
        <v>636</v>
      </c>
      <c r="K133" s="6">
        <f>Table1__2[[#This Row],[Quantity]]*Table1__2[[#This Row],[Unit_Price]]</f>
        <v>1272</v>
      </c>
    </row>
    <row r="134" spans="1:11" x14ac:dyDescent="0.35">
      <c r="A134" s="5" t="s">
        <v>190</v>
      </c>
      <c r="B134" s="48">
        <f>DATE(Table1__2[[#This Row],[Year]],Table1__2[[#This Row],[Month]],Table1__2[[#This Row],[Day]])</f>
        <v>45674</v>
      </c>
      <c r="C134" s="1">
        <v>17</v>
      </c>
      <c r="D134" s="1">
        <v>1</v>
      </c>
      <c r="E134" s="1">
        <v>2025</v>
      </c>
      <c r="F134" s="1" t="s">
        <v>29</v>
      </c>
      <c r="G134" s="1" t="s">
        <v>30</v>
      </c>
      <c r="H134" s="1" t="s">
        <v>18</v>
      </c>
      <c r="I134" s="1">
        <v>10</v>
      </c>
      <c r="J134" s="1">
        <v>123</v>
      </c>
      <c r="K134" s="6">
        <f>Table1__2[[#This Row],[Quantity]]*Table1__2[[#This Row],[Unit_Price]]</f>
        <v>1230</v>
      </c>
    </row>
    <row r="135" spans="1:11" x14ac:dyDescent="0.35">
      <c r="A135" s="5" t="s">
        <v>196</v>
      </c>
      <c r="B135" s="48">
        <f>DATE(Table1__2[[#This Row],[Year]],Table1__2[[#This Row],[Month]],Table1__2[[#This Row],[Day]])</f>
        <v>45685</v>
      </c>
      <c r="C135" s="1">
        <v>28</v>
      </c>
      <c r="D135" s="1">
        <v>1</v>
      </c>
      <c r="E135" s="1">
        <v>2025</v>
      </c>
      <c r="F135" s="1" t="s">
        <v>12</v>
      </c>
      <c r="G135" s="1" t="s">
        <v>13</v>
      </c>
      <c r="H135" s="1" t="s">
        <v>14</v>
      </c>
      <c r="I135" s="1">
        <v>5</v>
      </c>
      <c r="J135" s="1">
        <v>240</v>
      </c>
      <c r="K135" s="6">
        <f>Table1__2[[#This Row],[Quantity]]*Table1__2[[#This Row],[Unit_Price]]</f>
        <v>1200</v>
      </c>
    </row>
    <row r="136" spans="1:11" x14ac:dyDescent="0.35">
      <c r="A136" s="5" t="s">
        <v>99</v>
      </c>
      <c r="B136" s="48">
        <f>DATE(Table1__2[[#This Row],[Year]],Table1__2[[#This Row],[Month]],Table1__2[[#This Row],[Day]])</f>
        <v>45658</v>
      </c>
      <c r="C136" s="1">
        <v>1</v>
      </c>
      <c r="D136" s="1">
        <v>1</v>
      </c>
      <c r="E136" s="1">
        <v>2025</v>
      </c>
      <c r="F136" s="1" t="s">
        <v>8</v>
      </c>
      <c r="G136" s="1" t="s">
        <v>27</v>
      </c>
      <c r="H136" s="1" t="s">
        <v>18</v>
      </c>
      <c r="I136" s="1">
        <v>4</v>
      </c>
      <c r="J136" s="1">
        <v>295</v>
      </c>
      <c r="K136" s="6">
        <f>Table1__2[[#This Row],[Quantity]]*Table1__2[[#This Row],[Unit_Price]]</f>
        <v>1180</v>
      </c>
    </row>
    <row r="137" spans="1:11" x14ac:dyDescent="0.35">
      <c r="A137" s="5" t="s">
        <v>56</v>
      </c>
      <c r="B137" s="48">
        <f>DATE(Table1__2[[#This Row],[Year]],Table1__2[[#This Row],[Month]],Table1__2[[#This Row],[Day]])</f>
        <v>45686</v>
      </c>
      <c r="C137" s="1">
        <v>29</v>
      </c>
      <c r="D137" s="1">
        <v>1</v>
      </c>
      <c r="E137" s="1">
        <v>2025</v>
      </c>
      <c r="F137" s="1" t="s">
        <v>29</v>
      </c>
      <c r="G137" s="1" t="s">
        <v>27</v>
      </c>
      <c r="H137" s="1" t="s">
        <v>18</v>
      </c>
      <c r="I137" s="1">
        <v>9</v>
      </c>
      <c r="J137" s="1">
        <v>127</v>
      </c>
      <c r="K137" s="6">
        <f>Table1__2[[#This Row],[Quantity]]*Table1__2[[#This Row],[Unit_Price]]</f>
        <v>1143</v>
      </c>
    </row>
    <row r="138" spans="1:11" x14ac:dyDescent="0.35">
      <c r="A138" s="5" t="s">
        <v>152</v>
      </c>
      <c r="B138" s="48">
        <f>DATE(Table1__2[[#This Row],[Year]],Table1__2[[#This Row],[Month]],Table1__2[[#This Row],[Day]])</f>
        <v>45688</v>
      </c>
      <c r="C138" s="1">
        <v>31</v>
      </c>
      <c r="D138" s="1">
        <v>1</v>
      </c>
      <c r="E138" s="1">
        <v>2025</v>
      </c>
      <c r="F138" s="1" t="s">
        <v>12</v>
      </c>
      <c r="G138" s="1" t="s">
        <v>32</v>
      </c>
      <c r="H138" s="1" t="s">
        <v>18</v>
      </c>
      <c r="I138" s="1">
        <v>2</v>
      </c>
      <c r="J138" s="1">
        <v>554</v>
      </c>
      <c r="K138" s="6">
        <f>Table1__2[[#This Row],[Quantity]]*Table1__2[[#This Row],[Unit_Price]]</f>
        <v>1108</v>
      </c>
    </row>
    <row r="139" spans="1:11" x14ac:dyDescent="0.35">
      <c r="A139" s="5" t="s">
        <v>131</v>
      </c>
      <c r="B139" s="48">
        <f>DATE(Table1__2[[#This Row],[Year]],Table1__2[[#This Row],[Month]],Table1__2[[#This Row],[Day]])</f>
        <v>45674</v>
      </c>
      <c r="C139" s="1">
        <v>17</v>
      </c>
      <c r="D139" s="1">
        <v>1</v>
      </c>
      <c r="E139" s="1">
        <v>2025</v>
      </c>
      <c r="F139" s="1" t="s">
        <v>29</v>
      </c>
      <c r="G139" s="1" t="s">
        <v>9</v>
      </c>
      <c r="H139" s="1" t="s">
        <v>10</v>
      </c>
      <c r="I139" s="1">
        <v>2</v>
      </c>
      <c r="J139" s="1">
        <v>551</v>
      </c>
      <c r="K139" s="6">
        <f>Table1__2[[#This Row],[Quantity]]*Table1__2[[#This Row],[Unit_Price]]</f>
        <v>1102</v>
      </c>
    </row>
    <row r="140" spans="1:11" x14ac:dyDescent="0.35">
      <c r="A140" s="5" t="s">
        <v>49</v>
      </c>
      <c r="B140" s="48">
        <f>DATE(Table1__2[[#This Row],[Year]],Table1__2[[#This Row],[Month]],Table1__2[[#This Row],[Day]])</f>
        <v>45709</v>
      </c>
      <c r="C140" s="1">
        <v>21</v>
      </c>
      <c r="D140" s="1">
        <v>2</v>
      </c>
      <c r="E140" s="1">
        <v>2025</v>
      </c>
      <c r="F140" s="1" t="s">
        <v>12</v>
      </c>
      <c r="G140" s="1" t="s">
        <v>27</v>
      </c>
      <c r="H140" s="1" t="s">
        <v>18</v>
      </c>
      <c r="I140" s="1">
        <v>3</v>
      </c>
      <c r="J140" s="1">
        <v>351</v>
      </c>
      <c r="K140" s="6">
        <f>Table1__2[[#This Row],[Quantity]]*Table1__2[[#This Row],[Unit_Price]]</f>
        <v>1053</v>
      </c>
    </row>
    <row r="141" spans="1:11" x14ac:dyDescent="0.35">
      <c r="A141" s="5" t="s">
        <v>136</v>
      </c>
      <c r="B141" s="48">
        <f>DATE(Table1__2[[#This Row],[Year]],Table1__2[[#This Row],[Month]],Table1__2[[#This Row],[Day]])</f>
        <v>45701</v>
      </c>
      <c r="C141" s="1">
        <v>13</v>
      </c>
      <c r="D141" s="1">
        <v>2</v>
      </c>
      <c r="E141" s="1">
        <v>2025</v>
      </c>
      <c r="F141" s="1" t="s">
        <v>8</v>
      </c>
      <c r="G141" s="1" t="s">
        <v>23</v>
      </c>
      <c r="H141" s="1" t="s">
        <v>10</v>
      </c>
      <c r="I141" s="1">
        <v>3</v>
      </c>
      <c r="J141" s="1">
        <v>345</v>
      </c>
      <c r="K141" s="6">
        <f>Table1__2[[#This Row],[Quantity]]*Table1__2[[#This Row],[Unit_Price]]</f>
        <v>1035</v>
      </c>
    </row>
    <row r="142" spans="1:11" x14ac:dyDescent="0.35">
      <c r="A142" s="5" t="s">
        <v>175</v>
      </c>
      <c r="B142" s="48">
        <f>DATE(Table1__2[[#This Row],[Year]],Table1__2[[#This Row],[Month]],Table1__2[[#This Row],[Day]])</f>
        <v>45717</v>
      </c>
      <c r="C142" s="1">
        <v>1</v>
      </c>
      <c r="D142" s="1">
        <v>3</v>
      </c>
      <c r="E142" s="1">
        <v>2025</v>
      </c>
      <c r="F142" s="1" t="s">
        <v>25</v>
      </c>
      <c r="G142" s="1" t="s">
        <v>13</v>
      </c>
      <c r="H142" s="1" t="s">
        <v>14</v>
      </c>
      <c r="I142" s="1">
        <v>5</v>
      </c>
      <c r="J142" s="1">
        <v>207</v>
      </c>
      <c r="K142" s="6">
        <f>Table1__2[[#This Row],[Quantity]]*Table1__2[[#This Row],[Unit_Price]]</f>
        <v>1035</v>
      </c>
    </row>
    <row r="143" spans="1:11" x14ac:dyDescent="0.35">
      <c r="A143" s="5" t="s">
        <v>117</v>
      </c>
      <c r="B143" s="48">
        <f>DATE(Table1__2[[#This Row],[Year]],Table1__2[[#This Row],[Month]],Table1__2[[#This Row],[Day]])</f>
        <v>45676</v>
      </c>
      <c r="C143" s="1">
        <v>19</v>
      </c>
      <c r="D143" s="1">
        <v>1</v>
      </c>
      <c r="E143" s="1">
        <v>2025</v>
      </c>
      <c r="F143" s="1" t="s">
        <v>29</v>
      </c>
      <c r="G143" s="1" t="s">
        <v>27</v>
      </c>
      <c r="H143" s="1" t="s">
        <v>18</v>
      </c>
      <c r="I143" s="1">
        <v>4</v>
      </c>
      <c r="J143" s="1">
        <v>257</v>
      </c>
      <c r="K143" s="6">
        <f>Table1__2[[#This Row],[Quantity]]*Table1__2[[#This Row],[Unit_Price]]</f>
        <v>1028</v>
      </c>
    </row>
    <row r="144" spans="1:11" x14ac:dyDescent="0.35">
      <c r="A144" s="5" t="s">
        <v>122</v>
      </c>
      <c r="B144" s="48">
        <f>DATE(Table1__2[[#This Row],[Year]],Table1__2[[#This Row],[Month]],Table1__2[[#This Row],[Day]])</f>
        <v>45679</v>
      </c>
      <c r="C144" s="1">
        <v>22</v>
      </c>
      <c r="D144" s="1">
        <v>1</v>
      </c>
      <c r="E144" s="1">
        <v>2025</v>
      </c>
      <c r="F144" s="1" t="s">
        <v>25</v>
      </c>
      <c r="G144" s="1" t="s">
        <v>32</v>
      </c>
      <c r="H144" s="1" t="s">
        <v>18</v>
      </c>
      <c r="I144" s="1">
        <v>7</v>
      </c>
      <c r="J144" s="1">
        <v>146</v>
      </c>
      <c r="K144" s="6">
        <f>Table1__2[[#This Row],[Quantity]]*Table1__2[[#This Row],[Unit_Price]]</f>
        <v>1022</v>
      </c>
    </row>
    <row r="145" spans="1:11" x14ac:dyDescent="0.35">
      <c r="A145" s="5" t="s">
        <v>63</v>
      </c>
      <c r="B145" s="48">
        <f>DATE(Table1__2[[#This Row],[Year]],Table1__2[[#This Row],[Month]],Table1__2[[#This Row],[Day]])</f>
        <v>45669</v>
      </c>
      <c r="C145" s="1">
        <v>12</v>
      </c>
      <c r="D145" s="1">
        <v>1</v>
      </c>
      <c r="E145" s="1">
        <v>2025</v>
      </c>
      <c r="F145" s="1" t="s">
        <v>25</v>
      </c>
      <c r="G145" s="1" t="s">
        <v>27</v>
      </c>
      <c r="H145" s="1" t="s">
        <v>18</v>
      </c>
      <c r="I145" s="1">
        <v>3</v>
      </c>
      <c r="J145" s="1">
        <v>336</v>
      </c>
      <c r="K145" s="6">
        <f>Table1__2[[#This Row],[Quantity]]*Table1__2[[#This Row],[Unit_Price]]</f>
        <v>1008</v>
      </c>
    </row>
    <row r="146" spans="1:11" x14ac:dyDescent="0.35">
      <c r="A146" s="5" t="s">
        <v>67</v>
      </c>
      <c r="B146" s="48">
        <f>DATE(Table1__2[[#This Row],[Year]],Table1__2[[#This Row],[Month]],Table1__2[[#This Row],[Day]])</f>
        <v>45707</v>
      </c>
      <c r="C146" s="1">
        <v>19</v>
      </c>
      <c r="D146" s="1">
        <v>2</v>
      </c>
      <c r="E146" s="1">
        <v>2025</v>
      </c>
      <c r="F146" s="1" t="s">
        <v>8</v>
      </c>
      <c r="G146" s="1" t="s">
        <v>23</v>
      </c>
      <c r="H146" s="1" t="s">
        <v>10</v>
      </c>
      <c r="I146" s="1">
        <v>8</v>
      </c>
      <c r="J146" s="1">
        <v>125</v>
      </c>
      <c r="K146" s="6">
        <f>Table1__2[[#This Row],[Quantity]]*Table1__2[[#This Row],[Unit_Price]]</f>
        <v>1000</v>
      </c>
    </row>
    <row r="147" spans="1:11" x14ac:dyDescent="0.35">
      <c r="A147" s="5" t="s">
        <v>167</v>
      </c>
      <c r="B147" s="48">
        <f>DATE(Table1__2[[#This Row],[Year]],Table1__2[[#This Row],[Month]],Table1__2[[#This Row],[Day]])</f>
        <v>45659</v>
      </c>
      <c r="C147" s="1">
        <v>2</v>
      </c>
      <c r="D147" s="1">
        <v>1</v>
      </c>
      <c r="E147" s="1">
        <v>2025</v>
      </c>
      <c r="F147" s="1" t="s">
        <v>12</v>
      </c>
      <c r="G147" s="1" t="s">
        <v>13</v>
      </c>
      <c r="H147" s="1" t="s">
        <v>14</v>
      </c>
      <c r="I147" s="1">
        <v>3</v>
      </c>
      <c r="J147" s="1">
        <v>332</v>
      </c>
      <c r="K147" s="6">
        <f>Table1__2[[#This Row],[Quantity]]*Table1__2[[#This Row],[Unit_Price]]</f>
        <v>996</v>
      </c>
    </row>
    <row r="148" spans="1:11" x14ac:dyDescent="0.35">
      <c r="A148" s="5" t="s">
        <v>51</v>
      </c>
      <c r="B148" s="48">
        <f>DATE(Table1__2[[#This Row],[Year]],Table1__2[[#This Row],[Month]],Table1__2[[#This Row],[Day]])</f>
        <v>45717</v>
      </c>
      <c r="C148" s="1">
        <v>1</v>
      </c>
      <c r="D148" s="1">
        <v>3</v>
      </c>
      <c r="E148" s="1">
        <v>2025</v>
      </c>
      <c r="F148" s="1" t="s">
        <v>8</v>
      </c>
      <c r="G148" s="1" t="s">
        <v>23</v>
      </c>
      <c r="H148" s="1" t="s">
        <v>10</v>
      </c>
      <c r="I148" s="1">
        <v>4</v>
      </c>
      <c r="J148" s="1">
        <v>240</v>
      </c>
      <c r="K148" s="6">
        <f>Table1__2[[#This Row],[Quantity]]*Table1__2[[#This Row],[Unit_Price]]</f>
        <v>960</v>
      </c>
    </row>
    <row r="149" spans="1:11" x14ac:dyDescent="0.35">
      <c r="A149" s="5" t="s">
        <v>85</v>
      </c>
      <c r="B149" s="48">
        <f>DATE(Table1__2[[#This Row],[Year]],Table1__2[[#This Row],[Month]],Table1__2[[#This Row],[Day]])</f>
        <v>45713</v>
      </c>
      <c r="C149" s="1">
        <v>25</v>
      </c>
      <c r="D149" s="1">
        <v>2</v>
      </c>
      <c r="E149" s="1">
        <v>2025</v>
      </c>
      <c r="F149" s="1" t="s">
        <v>8</v>
      </c>
      <c r="G149" s="1" t="s">
        <v>13</v>
      </c>
      <c r="H149" s="1" t="s">
        <v>14</v>
      </c>
      <c r="I149" s="1">
        <v>2</v>
      </c>
      <c r="J149" s="1">
        <v>460</v>
      </c>
      <c r="K149" s="6">
        <f>Table1__2[[#This Row],[Quantity]]*Table1__2[[#This Row],[Unit_Price]]</f>
        <v>920</v>
      </c>
    </row>
    <row r="150" spans="1:11" x14ac:dyDescent="0.35">
      <c r="A150" s="5" t="s">
        <v>43</v>
      </c>
      <c r="B150" s="48">
        <f>DATE(Table1__2[[#This Row],[Year]],Table1__2[[#This Row],[Month]],Table1__2[[#This Row],[Day]])</f>
        <v>45672</v>
      </c>
      <c r="C150" s="1">
        <v>15</v>
      </c>
      <c r="D150" s="1">
        <v>1</v>
      </c>
      <c r="E150" s="1">
        <v>2025</v>
      </c>
      <c r="F150" s="1" t="s">
        <v>29</v>
      </c>
      <c r="G150" s="1" t="s">
        <v>13</v>
      </c>
      <c r="H150" s="1" t="s">
        <v>14</v>
      </c>
      <c r="I150" s="1">
        <v>1</v>
      </c>
      <c r="J150" s="1">
        <v>899</v>
      </c>
      <c r="K150" s="6">
        <f>Table1__2[[#This Row],[Quantity]]*Table1__2[[#This Row],[Unit_Price]]</f>
        <v>899</v>
      </c>
    </row>
    <row r="151" spans="1:11" x14ac:dyDescent="0.35">
      <c r="A151" s="5" t="s">
        <v>145</v>
      </c>
      <c r="B151" s="48">
        <f>DATE(Table1__2[[#This Row],[Year]],Table1__2[[#This Row],[Month]],Table1__2[[#This Row],[Day]])</f>
        <v>45687</v>
      </c>
      <c r="C151" s="1">
        <v>30</v>
      </c>
      <c r="D151" s="1">
        <v>1</v>
      </c>
      <c r="E151" s="1">
        <v>2025</v>
      </c>
      <c r="F151" s="1" t="s">
        <v>12</v>
      </c>
      <c r="G151" s="1" t="s">
        <v>23</v>
      </c>
      <c r="H151" s="1" t="s">
        <v>10</v>
      </c>
      <c r="I151" s="1">
        <v>9</v>
      </c>
      <c r="J151" s="1">
        <v>99</v>
      </c>
      <c r="K151" s="6">
        <f>Table1__2[[#This Row],[Quantity]]*Table1__2[[#This Row],[Unit_Price]]</f>
        <v>891</v>
      </c>
    </row>
    <row r="152" spans="1:11" x14ac:dyDescent="0.35">
      <c r="A152" s="5" t="s">
        <v>161</v>
      </c>
      <c r="B152" s="48">
        <f>DATE(Table1__2[[#This Row],[Year]],Table1__2[[#This Row],[Month]],Table1__2[[#This Row],[Day]])</f>
        <v>45664</v>
      </c>
      <c r="C152" s="1">
        <v>7</v>
      </c>
      <c r="D152" s="1">
        <v>1</v>
      </c>
      <c r="E152" s="1">
        <v>2025</v>
      </c>
      <c r="F152" s="1" t="s">
        <v>8</v>
      </c>
      <c r="G152" s="1" t="s">
        <v>9</v>
      </c>
      <c r="H152" s="1" t="s">
        <v>10</v>
      </c>
      <c r="I152" s="1">
        <v>3</v>
      </c>
      <c r="J152" s="1">
        <v>292</v>
      </c>
      <c r="K152" s="6">
        <f>Table1__2[[#This Row],[Quantity]]*Table1__2[[#This Row],[Unit_Price]]</f>
        <v>876</v>
      </c>
    </row>
    <row r="153" spans="1:11" x14ac:dyDescent="0.35">
      <c r="A153" s="5" t="s">
        <v>7</v>
      </c>
      <c r="B153" s="48">
        <f>DATE(Table1__2[[#This Row],[Year]],Table1__2[[#This Row],[Month]],Table1__2[[#This Row],[Day]])</f>
        <v>45685</v>
      </c>
      <c r="C153" s="1">
        <v>28</v>
      </c>
      <c r="D153" s="1">
        <v>1</v>
      </c>
      <c r="E153" s="1">
        <v>2025</v>
      </c>
      <c r="F153" s="1" t="s">
        <v>8</v>
      </c>
      <c r="G153" s="1" t="s">
        <v>9</v>
      </c>
      <c r="H153" s="1" t="s">
        <v>10</v>
      </c>
      <c r="I153" s="1">
        <v>6</v>
      </c>
      <c r="J153" s="1">
        <v>142</v>
      </c>
      <c r="K153" s="6">
        <f>Table1__2[[#This Row],[Quantity]]*Table1__2[[#This Row],[Unit_Price]]</f>
        <v>852</v>
      </c>
    </row>
    <row r="154" spans="1:11" x14ac:dyDescent="0.35">
      <c r="A154" s="5" t="s">
        <v>155</v>
      </c>
      <c r="B154" s="48">
        <f>DATE(Table1__2[[#This Row],[Year]],Table1__2[[#This Row],[Month]],Table1__2[[#This Row],[Day]])</f>
        <v>45707</v>
      </c>
      <c r="C154" s="1">
        <v>19</v>
      </c>
      <c r="D154" s="1">
        <v>2</v>
      </c>
      <c r="E154" s="1">
        <v>2025</v>
      </c>
      <c r="F154" s="1" t="s">
        <v>8</v>
      </c>
      <c r="G154" s="1" t="s">
        <v>32</v>
      </c>
      <c r="H154" s="1" t="s">
        <v>18</v>
      </c>
      <c r="I154" s="1">
        <v>1</v>
      </c>
      <c r="J154" s="1">
        <v>851</v>
      </c>
      <c r="K154" s="6">
        <f>Table1__2[[#This Row],[Quantity]]*Table1__2[[#This Row],[Unit_Price]]</f>
        <v>851</v>
      </c>
    </row>
    <row r="155" spans="1:11" x14ac:dyDescent="0.35">
      <c r="A155" s="5" t="s">
        <v>76</v>
      </c>
      <c r="B155" s="48">
        <f>DATE(Table1__2[[#This Row],[Year]],Table1__2[[#This Row],[Month]],Table1__2[[#This Row],[Day]])</f>
        <v>45692</v>
      </c>
      <c r="C155" s="1">
        <v>4</v>
      </c>
      <c r="D155" s="1">
        <v>2</v>
      </c>
      <c r="E155" s="1">
        <v>2025</v>
      </c>
      <c r="F155" s="1" t="s">
        <v>8</v>
      </c>
      <c r="G155" s="1" t="s">
        <v>27</v>
      </c>
      <c r="H155" s="1" t="s">
        <v>18</v>
      </c>
      <c r="I155" s="1">
        <v>8</v>
      </c>
      <c r="J155" s="1">
        <v>105</v>
      </c>
      <c r="K155" s="6">
        <f>Table1__2[[#This Row],[Quantity]]*Table1__2[[#This Row],[Unit_Price]]</f>
        <v>840</v>
      </c>
    </row>
    <row r="156" spans="1:11" x14ac:dyDescent="0.35">
      <c r="A156" s="5" t="s">
        <v>205</v>
      </c>
      <c r="B156" s="48">
        <f>DATE(Table1__2[[#This Row],[Year]],Table1__2[[#This Row],[Month]],Table1__2[[#This Row],[Day]])</f>
        <v>45668</v>
      </c>
      <c r="C156" s="1">
        <v>11</v>
      </c>
      <c r="D156" s="1">
        <v>1</v>
      </c>
      <c r="E156" s="1">
        <v>2025</v>
      </c>
      <c r="F156" s="1" t="s">
        <v>25</v>
      </c>
      <c r="G156" s="1" t="s">
        <v>27</v>
      </c>
      <c r="H156" s="1" t="s">
        <v>18</v>
      </c>
      <c r="I156" s="1">
        <v>1</v>
      </c>
      <c r="J156" s="1">
        <v>818</v>
      </c>
      <c r="K156" s="6">
        <f>Table1__2[[#This Row],[Quantity]]*Table1__2[[#This Row],[Unit_Price]]</f>
        <v>818</v>
      </c>
    </row>
    <row r="157" spans="1:11" x14ac:dyDescent="0.35">
      <c r="A157" s="5" t="s">
        <v>198</v>
      </c>
      <c r="B157" s="48">
        <f>DATE(Table1__2[[#This Row],[Year]],Table1__2[[#This Row],[Month]],Table1__2[[#This Row],[Day]])</f>
        <v>45689</v>
      </c>
      <c r="C157" s="1">
        <v>1</v>
      </c>
      <c r="D157" s="1">
        <v>2</v>
      </c>
      <c r="E157" s="1">
        <v>2025</v>
      </c>
      <c r="F157" s="1" t="s">
        <v>29</v>
      </c>
      <c r="G157" s="1" t="s">
        <v>23</v>
      </c>
      <c r="H157" s="1" t="s">
        <v>10</v>
      </c>
      <c r="I157" s="1">
        <v>1</v>
      </c>
      <c r="J157" s="1">
        <v>798</v>
      </c>
      <c r="K157" s="6">
        <f>Table1__2[[#This Row],[Quantity]]*Table1__2[[#This Row],[Unit_Price]]</f>
        <v>798</v>
      </c>
    </row>
    <row r="158" spans="1:11" x14ac:dyDescent="0.35">
      <c r="A158" s="5" t="s">
        <v>189</v>
      </c>
      <c r="B158" s="48">
        <f>DATE(Table1__2[[#This Row],[Year]],Table1__2[[#This Row],[Month]],Table1__2[[#This Row],[Day]])</f>
        <v>45714</v>
      </c>
      <c r="C158" s="1">
        <v>26</v>
      </c>
      <c r="D158" s="1">
        <v>2</v>
      </c>
      <c r="E158" s="1">
        <v>2025</v>
      </c>
      <c r="F158" s="1" t="s">
        <v>25</v>
      </c>
      <c r="G158" s="1" t="s">
        <v>30</v>
      </c>
      <c r="H158" s="1" t="s">
        <v>18</v>
      </c>
      <c r="I158" s="1">
        <v>1</v>
      </c>
      <c r="J158" s="1">
        <v>787</v>
      </c>
      <c r="K158" s="6">
        <f>Table1__2[[#This Row],[Quantity]]*Table1__2[[#This Row],[Unit_Price]]</f>
        <v>787</v>
      </c>
    </row>
    <row r="159" spans="1:11" x14ac:dyDescent="0.35">
      <c r="A159" s="5" t="s">
        <v>217</v>
      </c>
      <c r="B159" s="48">
        <f>DATE(Table1__2[[#This Row],[Year]],Table1__2[[#This Row],[Month]],Table1__2[[#This Row],[Day]])</f>
        <v>45672</v>
      </c>
      <c r="C159" s="1">
        <v>15</v>
      </c>
      <c r="D159" s="1">
        <v>1</v>
      </c>
      <c r="E159" s="1">
        <v>2025</v>
      </c>
      <c r="F159" s="1" t="s">
        <v>8</v>
      </c>
      <c r="G159" s="1" t="s">
        <v>23</v>
      </c>
      <c r="H159" s="1" t="s">
        <v>10</v>
      </c>
      <c r="I159" s="1">
        <v>6</v>
      </c>
      <c r="J159" s="1">
        <v>125</v>
      </c>
      <c r="K159" s="6">
        <f>Table1__2[[#This Row],[Quantity]]*Table1__2[[#This Row],[Unit_Price]]</f>
        <v>750</v>
      </c>
    </row>
    <row r="160" spans="1:11" x14ac:dyDescent="0.35">
      <c r="A160" s="5" t="s">
        <v>140</v>
      </c>
      <c r="B160" s="48">
        <f>DATE(Table1__2[[#This Row],[Year]],Table1__2[[#This Row],[Month]],Table1__2[[#This Row],[Day]])</f>
        <v>45699</v>
      </c>
      <c r="C160" s="1">
        <v>11</v>
      </c>
      <c r="D160" s="1">
        <v>2</v>
      </c>
      <c r="E160" s="1">
        <v>2025</v>
      </c>
      <c r="F160" s="1" t="s">
        <v>29</v>
      </c>
      <c r="G160" s="1" t="s">
        <v>9</v>
      </c>
      <c r="H160" s="1" t="s">
        <v>10</v>
      </c>
      <c r="I160" s="1">
        <v>1</v>
      </c>
      <c r="J160" s="1">
        <v>747</v>
      </c>
      <c r="K160" s="6">
        <f>Table1__2[[#This Row],[Quantity]]*Table1__2[[#This Row],[Unit_Price]]</f>
        <v>747</v>
      </c>
    </row>
    <row r="161" spans="1:11" x14ac:dyDescent="0.35">
      <c r="A161" s="5" t="s">
        <v>81</v>
      </c>
      <c r="B161" s="48">
        <f>DATE(Table1__2[[#This Row],[Year]],Table1__2[[#This Row],[Month]],Table1__2[[#This Row],[Day]])</f>
        <v>45705</v>
      </c>
      <c r="C161" s="1">
        <v>17</v>
      </c>
      <c r="D161" s="1">
        <v>2</v>
      </c>
      <c r="E161" s="1">
        <v>2025</v>
      </c>
      <c r="F161" s="1" t="s">
        <v>12</v>
      </c>
      <c r="G161" s="1" t="s">
        <v>32</v>
      </c>
      <c r="H161" s="1" t="s">
        <v>18</v>
      </c>
      <c r="I161" s="1">
        <v>5</v>
      </c>
      <c r="J161" s="1">
        <v>149</v>
      </c>
      <c r="K161" s="6">
        <f>Table1__2[[#This Row],[Quantity]]*Table1__2[[#This Row],[Unit_Price]]</f>
        <v>745</v>
      </c>
    </row>
    <row r="162" spans="1:11" x14ac:dyDescent="0.35">
      <c r="A162" s="5" t="s">
        <v>178</v>
      </c>
      <c r="B162" s="48">
        <f>DATE(Table1__2[[#This Row],[Year]],Table1__2[[#This Row],[Month]],Table1__2[[#This Row],[Day]])</f>
        <v>45715</v>
      </c>
      <c r="C162" s="1">
        <v>27</v>
      </c>
      <c r="D162" s="1">
        <v>2</v>
      </c>
      <c r="E162" s="1">
        <v>2025</v>
      </c>
      <c r="F162" s="1" t="s">
        <v>29</v>
      </c>
      <c r="G162" s="1" t="s">
        <v>23</v>
      </c>
      <c r="H162" s="1" t="s">
        <v>10</v>
      </c>
      <c r="I162" s="1">
        <v>5</v>
      </c>
      <c r="J162" s="1">
        <v>145</v>
      </c>
      <c r="K162" s="6">
        <f>Table1__2[[#This Row],[Quantity]]*Table1__2[[#This Row],[Unit_Price]]</f>
        <v>725</v>
      </c>
    </row>
    <row r="163" spans="1:11" x14ac:dyDescent="0.35">
      <c r="A163" s="5" t="s">
        <v>101</v>
      </c>
      <c r="B163" s="48">
        <f>DATE(Table1__2[[#This Row],[Year]],Table1__2[[#This Row],[Month]],Table1__2[[#This Row],[Day]])</f>
        <v>45683</v>
      </c>
      <c r="C163" s="1">
        <v>26</v>
      </c>
      <c r="D163" s="1">
        <v>1</v>
      </c>
      <c r="E163" s="1">
        <v>2025</v>
      </c>
      <c r="F163" s="1" t="s">
        <v>25</v>
      </c>
      <c r="G163" s="1" t="s">
        <v>17</v>
      </c>
      <c r="H163" s="1" t="s">
        <v>18</v>
      </c>
      <c r="I163" s="1">
        <v>1</v>
      </c>
      <c r="J163" s="1">
        <v>715</v>
      </c>
      <c r="K163" s="6">
        <f>Table1__2[[#This Row],[Quantity]]*Table1__2[[#This Row],[Unit_Price]]</f>
        <v>715</v>
      </c>
    </row>
    <row r="164" spans="1:11" x14ac:dyDescent="0.35">
      <c r="A164" s="5" t="s">
        <v>149</v>
      </c>
      <c r="B164" s="48">
        <f>DATE(Table1__2[[#This Row],[Year]],Table1__2[[#This Row],[Month]],Table1__2[[#This Row],[Day]])</f>
        <v>45687</v>
      </c>
      <c r="C164" s="1">
        <v>30</v>
      </c>
      <c r="D164" s="1">
        <v>1</v>
      </c>
      <c r="E164" s="1">
        <v>2025</v>
      </c>
      <c r="F164" s="1" t="s">
        <v>8</v>
      </c>
      <c r="G164" s="1" t="s">
        <v>30</v>
      </c>
      <c r="H164" s="1" t="s">
        <v>18</v>
      </c>
      <c r="I164" s="1">
        <v>5</v>
      </c>
      <c r="J164" s="1">
        <v>141</v>
      </c>
      <c r="K164" s="6">
        <f>Table1__2[[#This Row],[Quantity]]*Table1__2[[#This Row],[Unit_Price]]</f>
        <v>705</v>
      </c>
    </row>
    <row r="165" spans="1:11" x14ac:dyDescent="0.35">
      <c r="A165" s="5" t="s">
        <v>89</v>
      </c>
      <c r="B165" s="48">
        <f>DATE(Table1__2[[#This Row],[Year]],Table1__2[[#This Row],[Month]],Table1__2[[#This Row],[Day]])</f>
        <v>45677</v>
      </c>
      <c r="C165" s="1">
        <v>20</v>
      </c>
      <c r="D165" s="1">
        <v>1</v>
      </c>
      <c r="E165" s="1">
        <v>2025</v>
      </c>
      <c r="F165" s="1" t="s">
        <v>25</v>
      </c>
      <c r="G165" s="1" t="s">
        <v>32</v>
      </c>
      <c r="H165" s="1" t="s">
        <v>18</v>
      </c>
      <c r="I165" s="1">
        <v>1</v>
      </c>
      <c r="J165" s="1">
        <v>685</v>
      </c>
      <c r="K165" s="6">
        <f>Table1__2[[#This Row],[Quantity]]*Table1__2[[#This Row],[Unit_Price]]</f>
        <v>685</v>
      </c>
    </row>
    <row r="166" spans="1:11" x14ac:dyDescent="0.35">
      <c r="A166" s="5" t="s">
        <v>111</v>
      </c>
      <c r="B166" s="48">
        <f>DATE(Table1__2[[#This Row],[Year]],Table1__2[[#This Row],[Month]],Table1__2[[#This Row],[Day]])</f>
        <v>45714</v>
      </c>
      <c r="C166" s="1">
        <v>26</v>
      </c>
      <c r="D166" s="1">
        <v>2</v>
      </c>
      <c r="E166" s="1">
        <v>2025</v>
      </c>
      <c r="F166" s="1" t="s">
        <v>29</v>
      </c>
      <c r="G166" s="1" t="s">
        <v>32</v>
      </c>
      <c r="H166" s="1" t="s">
        <v>18</v>
      </c>
      <c r="I166" s="1">
        <v>1</v>
      </c>
      <c r="J166" s="1">
        <v>684</v>
      </c>
      <c r="K166" s="6">
        <f>Table1__2[[#This Row],[Quantity]]*Table1__2[[#This Row],[Unit_Price]]</f>
        <v>684</v>
      </c>
    </row>
    <row r="167" spans="1:11" x14ac:dyDescent="0.35">
      <c r="A167" s="5" t="s">
        <v>186</v>
      </c>
      <c r="B167" s="48">
        <f>DATE(Table1__2[[#This Row],[Year]],Table1__2[[#This Row],[Month]],Table1__2[[#This Row],[Day]])</f>
        <v>45694</v>
      </c>
      <c r="C167" s="1">
        <v>6</v>
      </c>
      <c r="D167" s="1">
        <v>2</v>
      </c>
      <c r="E167" s="1">
        <v>2025</v>
      </c>
      <c r="F167" s="1" t="s">
        <v>12</v>
      </c>
      <c r="G167" s="1" t="s">
        <v>23</v>
      </c>
      <c r="H167" s="1" t="s">
        <v>10</v>
      </c>
      <c r="I167" s="1">
        <v>1</v>
      </c>
      <c r="J167" s="1">
        <v>681</v>
      </c>
      <c r="K167" s="6">
        <f>Table1__2[[#This Row],[Quantity]]*Table1__2[[#This Row],[Unit_Price]]</f>
        <v>681</v>
      </c>
    </row>
    <row r="168" spans="1:11" x14ac:dyDescent="0.35">
      <c r="A168" s="5" t="s">
        <v>24</v>
      </c>
      <c r="B168" s="48">
        <f>DATE(Table1__2[[#This Row],[Year]],Table1__2[[#This Row],[Month]],Table1__2[[#This Row],[Day]])</f>
        <v>45659</v>
      </c>
      <c r="C168" s="1">
        <v>2</v>
      </c>
      <c r="D168" s="1">
        <v>1</v>
      </c>
      <c r="E168" s="1">
        <v>2025</v>
      </c>
      <c r="F168" s="1" t="s">
        <v>25</v>
      </c>
      <c r="G168" s="1" t="s">
        <v>9</v>
      </c>
      <c r="H168" s="1" t="s">
        <v>10</v>
      </c>
      <c r="I168" s="1">
        <v>1</v>
      </c>
      <c r="J168" s="1">
        <v>647</v>
      </c>
      <c r="K168" s="6">
        <f>Table1__2[[#This Row],[Quantity]]*Table1__2[[#This Row],[Unit_Price]]</f>
        <v>647</v>
      </c>
    </row>
    <row r="169" spans="1:11" x14ac:dyDescent="0.35">
      <c r="A169" s="5" t="s">
        <v>91</v>
      </c>
      <c r="B169" s="48">
        <f>DATE(Table1__2[[#This Row],[Year]],Table1__2[[#This Row],[Month]],Table1__2[[#This Row],[Day]])</f>
        <v>45670</v>
      </c>
      <c r="C169" s="1">
        <v>13</v>
      </c>
      <c r="D169" s="1">
        <v>1</v>
      </c>
      <c r="E169" s="1">
        <v>2025</v>
      </c>
      <c r="F169" s="1" t="s">
        <v>12</v>
      </c>
      <c r="G169" s="1" t="s">
        <v>13</v>
      </c>
      <c r="H169" s="1" t="s">
        <v>14</v>
      </c>
      <c r="I169" s="1">
        <v>2</v>
      </c>
      <c r="J169" s="1">
        <v>295</v>
      </c>
      <c r="K169" s="6">
        <f>Table1__2[[#This Row],[Quantity]]*Table1__2[[#This Row],[Unit_Price]]</f>
        <v>590</v>
      </c>
    </row>
    <row r="170" spans="1:11" x14ac:dyDescent="0.35">
      <c r="A170" s="5" t="s">
        <v>187</v>
      </c>
      <c r="B170" s="48">
        <f>DATE(Table1__2[[#This Row],[Year]],Table1__2[[#This Row],[Month]],Table1__2[[#This Row],[Day]])</f>
        <v>45707</v>
      </c>
      <c r="C170" s="1">
        <v>19</v>
      </c>
      <c r="D170" s="1">
        <v>2</v>
      </c>
      <c r="E170" s="1">
        <v>2025</v>
      </c>
      <c r="F170" s="1" t="s">
        <v>8</v>
      </c>
      <c r="G170" s="1" t="s">
        <v>23</v>
      </c>
      <c r="H170" s="1" t="s">
        <v>10</v>
      </c>
      <c r="I170" s="1">
        <v>1</v>
      </c>
      <c r="J170" s="1">
        <v>590</v>
      </c>
      <c r="K170" s="6">
        <f>Table1__2[[#This Row],[Quantity]]*Table1__2[[#This Row],[Unit_Price]]</f>
        <v>590</v>
      </c>
    </row>
    <row r="171" spans="1:11" x14ac:dyDescent="0.35">
      <c r="A171" s="5" t="s">
        <v>97</v>
      </c>
      <c r="B171" s="48">
        <f>DATE(Table1__2[[#This Row],[Year]],Table1__2[[#This Row],[Month]],Table1__2[[#This Row],[Day]])</f>
        <v>45704</v>
      </c>
      <c r="C171" s="1">
        <v>16</v>
      </c>
      <c r="D171" s="1">
        <v>2</v>
      </c>
      <c r="E171" s="1">
        <v>2025</v>
      </c>
      <c r="F171" s="1" t="s">
        <v>12</v>
      </c>
      <c r="G171" s="1" t="s">
        <v>17</v>
      </c>
      <c r="H171" s="1" t="s">
        <v>18</v>
      </c>
      <c r="I171" s="1">
        <v>2</v>
      </c>
      <c r="J171" s="1">
        <v>290</v>
      </c>
      <c r="K171" s="6">
        <f>Table1__2[[#This Row],[Quantity]]*Table1__2[[#This Row],[Unit_Price]]</f>
        <v>580</v>
      </c>
    </row>
    <row r="172" spans="1:11" x14ac:dyDescent="0.35">
      <c r="A172" s="5" t="s">
        <v>154</v>
      </c>
      <c r="B172" s="48">
        <f>DATE(Table1__2[[#This Row],[Year]],Table1__2[[#This Row],[Month]],Table1__2[[#This Row],[Day]])</f>
        <v>45703</v>
      </c>
      <c r="C172" s="1">
        <v>15</v>
      </c>
      <c r="D172" s="1">
        <v>2</v>
      </c>
      <c r="E172" s="1">
        <v>2025</v>
      </c>
      <c r="F172" s="1" t="s">
        <v>12</v>
      </c>
      <c r="G172" s="1" t="s">
        <v>17</v>
      </c>
      <c r="H172" s="1" t="s">
        <v>18</v>
      </c>
      <c r="I172" s="1">
        <v>3</v>
      </c>
      <c r="J172" s="1">
        <v>193</v>
      </c>
      <c r="K172" s="6">
        <f>Table1__2[[#This Row],[Quantity]]*Table1__2[[#This Row],[Unit_Price]]</f>
        <v>579</v>
      </c>
    </row>
    <row r="173" spans="1:11" x14ac:dyDescent="0.35">
      <c r="A173" s="5" t="s">
        <v>21</v>
      </c>
      <c r="B173" s="48">
        <f>DATE(Table1__2[[#This Row],[Year]],Table1__2[[#This Row],[Month]],Table1__2[[#This Row],[Day]])</f>
        <v>45680</v>
      </c>
      <c r="C173" s="1">
        <v>23</v>
      </c>
      <c r="D173" s="1">
        <v>1</v>
      </c>
      <c r="E173" s="1">
        <v>2025</v>
      </c>
      <c r="F173" s="1" t="s">
        <v>8</v>
      </c>
      <c r="G173" s="1" t="s">
        <v>9</v>
      </c>
      <c r="H173" s="1" t="s">
        <v>10</v>
      </c>
      <c r="I173" s="1">
        <v>1</v>
      </c>
      <c r="J173" s="1">
        <v>560</v>
      </c>
      <c r="K173" s="6">
        <f>Table1__2[[#This Row],[Quantity]]*Table1__2[[#This Row],[Unit_Price]]</f>
        <v>560</v>
      </c>
    </row>
    <row r="174" spans="1:11" x14ac:dyDescent="0.35">
      <c r="A174" s="5" t="s">
        <v>116</v>
      </c>
      <c r="B174" s="48">
        <f>DATE(Table1__2[[#This Row],[Year]],Table1__2[[#This Row],[Month]],Table1__2[[#This Row],[Day]])</f>
        <v>45690</v>
      </c>
      <c r="C174" s="1">
        <v>2</v>
      </c>
      <c r="D174" s="1">
        <v>2</v>
      </c>
      <c r="E174" s="1">
        <v>2025</v>
      </c>
      <c r="F174" s="1" t="s">
        <v>12</v>
      </c>
      <c r="G174" s="1" t="s">
        <v>13</v>
      </c>
      <c r="H174" s="1" t="s">
        <v>14</v>
      </c>
      <c r="I174" s="1">
        <v>1</v>
      </c>
      <c r="J174" s="1">
        <v>505</v>
      </c>
      <c r="K174" s="6">
        <f>Table1__2[[#This Row],[Quantity]]*Table1__2[[#This Row],[Unit_Price]]</f>
        <v>505</v>
      </c>
    </row>
    <row r="175" spans="1:11" x14ac:dyDescent="0.35">
      <c r="A175" s="5" t="s">
        <v>110</v>
      </c>
      <c r="B175" s="48">
        <f>DATE(Table1__2[[#This Row],[Year]],Table1__2[[#This Row],[Month]],Table1__2[[#This Row],[Day]])</f>
        <v>45661</v>
      </c>
      <c r="C175" s="1">
        <v>4</v>
      </c>
      <c r="D175" s="1">
        <v>1</v>
      </c>
      <c r="E175" s="1">
        <v>2025</v>
      </c>
      <c r="F175" s="1" t="s">
        <v>29</v>
      </c>
      <c r="G175" s="1" t="s">
        <v>30</v>
      </c>
      <c r="H175" s="1" t="s">
        <v>18</v>
      </c>
      <c r="I175" s="1">
        <v>7</v>
      </c>
      <c r="J175" s="1">
        <v>71</v>
      </c>
      <c r="K175" s="6">
        <f>Table1__2[[#This Row],[Quantity]]*Table1__2[[#This Row],[Unit_Price]]</f>
        <v>497</v>
      </c>
    </row>
    <row r="176" spans="1:11" x14ac:dyDescent="0.35">
      <c r="A176" s="5" t="s">
        <v>216</v>
      </c>
      <c r="B176" s="48">
        <f>DATE(Table1__2[[#This Row],[Year]],Table1__2[[#This Row],[Month]],Table1__2[[#This Row],[Day]])</f>
        <v>45679</v>
      </c>
      <c r="C176" s="1">
        <v>22</v>
      </c>
      <c r="D176" s="1">
        <v>1</v>
      </c>
      <c r="E176" s="1">
        <v>2025</v>
      </c>
      <c r="F176" s="1" t="s">
        <v>29</v>
      </c>
      <c r="G176" s="1" t="s">
        <v>32</v>
      </c>
      <c r="H176" s="1" t="s">
        <v>18</v>
      </c>
      <c r="I176" s="1">
        <v>10</v>
      </c>
      <c r="J176" s="1">
        <v>49</v>
      </c>
      <c r="K176" s="6">
        <f>Table1__2[[#This Row],[Quantity]]*Table1__2[[#This Row],[Unit_Price]]</f>
        <v>490</v>
      </c>
    </row>
    <row r="177" spans="1:11" x14ac:dyDescent="0.35">
      <c r="A177" s="5" t="s">
        <v>143</v>
      </c>
      <c r="B177" s="48">
        <f>DATE(Table1__2[[#This Row],[Year]],Table1__2[[#This Row],[Month]],Table1__2[[#This Row],[Day]])</f>
        <v>45704</v>
      </c>
      <c r="C177" s="1">
        <v>16</v>
      </c>
      <c r="D177" s="1">
        <v>2</v>
      </c>
      <c r="E177" s="1">
        <v>2025</v>
      </c>
      <c r="F177" s="1" t="s">
        <v>25</v>
      </c>
      <c r="G177" s="1" t="s">
        <v>13</v>
      </c>
      <c r="H177" s="1" t="s">
        <v>14</v>
      </c>
      <c r="I177" s="1">
        <v>2</v>
      </c>
      <c r="J177" s="1">
        <v>241</v>
      </c>
      <c r="K177" s="6">
        <f>Table1__2[[#This Row],[Quantity]]*Table1__2[[#This Row],[Unit_Price]]</f>
        <v>482</v>
      </c>
    </row>
    <row r="178" spans="1:11" x14ac:dyDescent="0.35">
      <c r="A178" s="5" t="s">
        <v>126</v>
      </c>
      <c r="B178" s="48">
        <f>DATE(Table1__2[[#This Row],[Year]],Table1__2[[#This Row],[Month]],Table1__2[[#This Row],[Day]])</f>
        <v>45715</v>
      </c>
      <c r="C178" s="1">
        <v>27</v>
      </c>
      <c r="D178" s="1">
        <v>2</v>
      </c>
      <c r="E178" s="1">
        <v>2025</v>
      </c>
      <c r="F178" s="1" t="s">
        <v>12</v>
      </c>
      <c r="G178" s="1" t="s">
        <v>23</v>
      </c>
      <c r="H178" s="1" t="s">
        <v>10</v>
      </c>
      <c r="I178" s="1">
        <v>10</v>
      </c>
      <c r="J178" s="1">
        <v>46</v>
      </c>
      <c r="K178" s="6">
        <f>Table1__2[[#This Row],[Quantity]]*Table1__2[[#This Row],[Unit_Price]]</f>
        <v>460</v>
      </c>
    </row>
    <row r="179" spans="1:11" x14ac:dyDescent="0.35">
      <c r="A179" s="5" t="s">
        <v>168</v>
      </c>
      <c r="B179" s="48">
        <f>DATE(Table1__2[[#This Row],[Year]],Table1__2[[#This Row],[Month]],Table1__2[[#This Row],[Day]])</f>
        <v>45695</v>
      </c>
      <c r="C179" s="1">
        <v>7</v>
      </c>
      <c r="D179" s="1">
        <v>2</v>
      </c>
      <c r="E179" s="1">
        <v>2025</v>
      </c>
      <c r="F179" s="1" t="s">
        <v>25</v>
      </c>
      <c r="G179" s="1" t="s">
        <v>17</v>
      </c>
      <c r="H179" s="1" t="s">
        <v>18</v>
      </c>
      <c r="I179" s="1">
        <v>5</v>
      </c>
      <c r="J179" s="1">
        <v>90</v>
      </c>
      <c r="K179" s="6">
        <f>Table1__2[[#This Row],[Quantity]]*Table1__2[[#This Row],[Unit_Price]]</f>
        <v>450</v>
      </c>
    </row>
    <row r="180" spans="1:11" x14ac:dyDescent="0.35">
      <c r="A180" s="5" t="s">
        <v>79</v>
      </c>
      <c r="B180" s="48">
        <f>DATE(Table1__2[[#This Row],[Year]],Table1__2[[#This Row],[Month]],Table1__2[[#This Row],[Day]])</f>
        <v>45690</v>
      </c>
      <c r="C180" s="1">
        <v>2</v>
      </c>
      <c r="D180" s="1">
        <v>2</v>
      </c>
      <c r="E180" s="1">
        <v>2025</v>
      </c>
      <c r="F180" s="1" t="s">
        <v>8</v>
      </c>
      <c r="G180" s="1" t="s">
        <v>27</v>
      </c>
      <c r="H180" s="1" t="s">
        <v>18</v>
      </c>
      <c r="I180" s="1">
        <v>9</v>
      </c>
      <c r="J180" s="1">
        <v>49</v>
      </c>
      <c r="K180" s="6">
        <f>Table1__2[[#This Row],[Quantity]]*Table1__2[[#This Row],[Unit_Price]]</f>
        <v>441</v>
      </c>
    </row>
    <row r="181" spans="1:11" x14ac:dyDescent="0.35">
      <c r="A181" s="5" t="s">
        <v>69</v>
      </c>
      <c r="B181" s="48">
        <f>DATE(Table1__2[[#This Row],[Year]],Table1__2[[#This Row],[Month]],Table1__2[[#This Row],[Day]])</f>
        <v>45718</v>
      </c>
      <c r="C181" s="1">
        <v>2</v>
      </c>
      <c r="D181" s="1">
        <v>3</v>
      </c>
      <c r="E181" s="1">
        <v>2025</v>
      </c>
      <c r="F181" s="1" t="s">
        <v>25</v>
      </c>
      <c r="G181" s="1" t="s">
        <v>17</v>
      </c>
      <c r="H181" s="1" t="s">
        <v>18</v>
      </c>
      <c r="I181" s="1">
        <v>1</v>
      </c>
      <c r="J181" s="1">
        <v>428</v>
      </c>
      <c r="K181" s="6">
        <f>Table1__2[[#This Row],[Quantity]]*Table1__2[[#This Row],[Unit_Price]]</f>
        <v>428</v>
      </c>
    </row>
    <row r="182" spans="1:11" x14ac:dyDescent="0.35">
      <c r="A182" s="5" t="s">
        <v>200</v>
      </c>
      <c r="B182" s="48">
        <f>DATE(Table1__2[[#This Row],[Year]],Table1__2[[#This Row],[Month]],Table1__2[[#This Row],[Day]])</f>
        <v>45665</v>
      </c>
      <c r="C182" s="1">
        <v>8</v>
      </c>
      <c r="D182" s="1">
        <v>1</v>
      </c>
      <c r="E182" s="1">
        <v>2025</v>
      </c>
      <c r="F182" s="1" t="s">
        <v>12</v>
      </c>
      <c r="G182" s="1" t="s">
        <v>17</v>
      </c>
      <c r="H182" s="1" t="s">
        <v>18</v>
      </c>
      <c r="I182" s="1">
        <v>6</v>
      </c>
      <c r="J182" s="1">
        <v>68</v>
      </c>
      <c r="K182" s="6">
        <f>Table1__2[[#This Row],[Quantity]]*Table1__2[[#This Row],[Unit_Price]]</f>
        <v>408</v>
      </c>
    </row>
    <row r="183" spans="1:11" x14ac:dyDescent="0.35">
      <c r="A183" s="5" t="s">
        <v>144</v>
      </c>
      <c r="B183" s="48">
        <f>DATE(Table1__2[[#This Row],[Year]],Table1__2[[#This Row],[Month]],Table1__2[[#This Row],[Day]])</f>
        <v>45675</v>
      </c>
      <c r="C183" s="1">
        <v>18</v>
      </c>
      <c r="D183" s="1">
        <v>1</v>
      </c>
      <c r="E183" s="1">
        <v>2025</v>
      </c>
      <c r="F183" s="1" t="s">
        <v>25</v>
      </c>
      <c r="G183" s="1" t="s">
        <v>32</v>
      </c>
      <c r="H183" s="1" t="s">
        <v>18</v>
      </c>
      <c r="I183" s="1">
        <v>10</v>
      </c>
      <c r="J183" s="1">
        <v>40</v>
      </c>
      <c r="K183" s="6">
        <f>Table1__2[[#This Row],[Quantity]]*Table1__2[[#This Row],[Unit_Price]]</f>
        <v>400</v>
      </c>
    </row>
    <row r="184" spans="1:11" x14ac:dyDescent="0.35">
      <c r="A184" s="5" t="s">
        <v>204</v>
      </c>
      <c r="B184" s="48">
        <f>DATE(Table1__2[[#This Row],[Year]],Table1__2[[#This Row],[Month]],Table1__2[[#This Row],[Day]])</f>
        <v>45673</v>
      </c>
      <c r="C184" s="1">
        <v>16</v>
      </c>
      <c r="D184" s="1">
        <v>1</v>
      </c>
      <c r="E184" s="1">
        <v>2025</v>
      </c>
      <c r="F184" s="1" t="s">
        <v>29</v>
      </c>
      <c r="G184" s="1" t="s">
        <v>32</v>
      </c>
      <c r="H184" s="1" t="s">
        <v>18</v>
      </c>
      <c r="I184" s="1">
        <v>2</v>
      </c>
      <c r="J184" s="1">
        <v>200</v>
      </c>
      <c r="K184" s="6">
        <f>Table1__2[[#This Row],[Quantity]]*Table1__2[[#This Row],[Unit_Price]]</f>
        <v>400</v>
      </c>
    </row>
    <row r="185" spans="1:11" x14ac:dyDescent="0.35">
      <c r="A185" s="5" t="s">
        <v>119</v>
      </c>
      <c r="B185" s="48">
        <f>DATE(Table1__2[[#This Row],[Year]],Table1__2[[#This Row],[Month]],Table1__2[[#This Row],[Day]])</f>
        <v>45673</v>
      </c>
      <c r="C185" s="1">
        <v>16</v>
      </c>
      <c r="D185" s="1">
        <v>1</v>
      </c>
      <c r="E185" s="1">
        <v>2025</v>
      </c>
      <c r="F185" s="1" t="s">
        <v>25</v>
      </c>
      <c r="G185" s="1" t="s">
        <v>17</v>
      </c>
      <c r="H185" s="1" t="s">
        <v>18</v>
      </c>
      <c r="I185" s="1">
        <v>6</v>
      </c>
      <c r="J185" s="1">
        <v>65</v>
      </c>
      <c r="K185" s="6">
        <f>Table1__2[[#This Row],[Quantity]]*Table1__2[[#This Row],[Unit_Price]]</f>
        <v>390</v>
      </c>
    </row>
    <row r="186" spans="1:11" x14ac:dyDescent="0.35">
      <c r="A186" s="5" t="s">
        <v>84</v>
      </c>
      <c r="B186" s="48">
        <f>DATE(Table1__2[[#This Row],[Year]],Table1__2[[#This Row],[Month]],Table1__2[[#This Row],[Day]])</f>
        <v>45692</v>
      </c>
      <c r="C186" s="1">
        <v>4</v>
      </c>
      <c r="D186" s="1">
        <v>2</v>
      </c>
      <c r="E186" s="1">
        <v>2025</v>
      </c>
      <c r="F186" s="1" t="s">
        <v>12</v>
      </c>
      <c r="G186" s="1" t="s">
        <v>13</v>
      </c>
      <c r="H186" s="1" t="s">
        <v>14</v>
      </c>
      <c r="I186" s="1">
        <v>1</v>
      </c>
      <c r="J186" s="1">
        <v>382</v>
      </c>
      <c r="K186" s="6">
        <f>Table1__2[[#This Row],[Quantity]]*Table1__2[[#This Row],[Unit_Price]]</f>
        <v>382</v>
      </c>
    </row>
    <row r="187" spans="1:11" x14ac:dyDescent="0.35">
      <c r="A187" s="5" t="s">
        <v>135</v>
      </c>
      <c r="B187" s="48">
        <f>DATE(Table1__2[[#This Row],[Year]],Table1__2[[#This Row],[Month]],Table1__2[[#This Row],[Day]])</f>
        <v>45675</v>
      </c>
      <c r="C187" s="1">
        <v>18</v>
      </c>
      <c r="D187" s="1">
        <v>1</v>
      </c>
      <c r="E187" s="1">
        <v>2025</v>
      </c>
      <c r="F187" s="1" t="s">
        <v>8</v>
      </c>
      <c r="G187" s="1" t="s">
        <v>17</v>
      </c>
      <c r="H187" s="1" t="s">
        <v>18</v>
      </c>
      <c r="I187" s="1">
        <v>7</v>
      </c>
      <c r="J187" s="1">
        <v>54</v>
      </c>
      <c r="K187" s="6">
        <f>Table1__2[[#This Row],[Quantity]]*Table1__2[[#This Row],[Unit_Price]]</f>
        <v>378</v>
      </c>
    </row>
    <row r="188" spans="1:11" x14ac:dyDescent="0.35">
      <c r="A188" s="5" t="s">
        <v>38</v>
      </c>
      <c r="B188" s="48">
        <f>DATE(Table1__2[[#This Row],[Year]],Table1__2[[#This Row],[Month]],Table1__2[[#This Row],[Day]])</f>
        <v>45679</v>
      </c>
      <c r="C188" s="1">
        <v>22</v>
      </c>
      <c r="D188" s="1">
        <v>1</v>
      </c>
      <c r="E188" s="1">
        <v>2025</v>
      </c>
      <c r="F188" s="1" t="s">
        <v>29</v>
      </c>
      <c r="G188" s="1" t="s">
        <v>17</v>
      </c>
      <c r="H188" s="1" t="s">
        <v>18</v>
      </c>
      <c r="I188" s="1">
        <v>1</v>
      </c>
      <c r="J188" s="1">
        <v>375</v>
      </c>
      <c r="K188" s="6">
        <f>Table1__2[[#This Row],[Quantity]]*Table1__2[[#This Row],[Unit_Price]]</f>
        <v>375</v>
      </c>
    </row>
    <row r="189" spans="1:11" x14ac:dyDescent="0.35">
      <c r="A189" s="5" t="s">
        <v>206</v>
      </c>
      <c r="B189" s="48">
        <f>DATE(Table1__2[[#This Row],[Year]],Table1__2[[#This Row],[Month]],Table1__2[[#This Row],[Day]])</f>
        <v>45696</v>
      </c>
      <c r="C189" s="1">
        <v>8</v>
      </c>
      <c r="D189" s="1">
        <v>2</v>
      </c>
      <c r="E189" s="1">
        <v>2025</v>
      </c>
      <c r="F189" s="1" t="s">
        <v>25</v>
      </c>
      <c r="G189" s="1" t="s">
        <v>13</v>
      </c>
      <c r="H189" s="1" t="s">
        <v>14</v>
      </c>
      <c r="I189" s="1">
        <v>4</v>
      </c>
      <c r="J189" s="1">
        <v>81</v>
      </c>
      <c r="K189" s="6">
        <f>Table1__2[[#This Row],[Quantity]]*Table1__2[[#This Row],[Unit_Price]]</f>
        <v>324</v>
      </c>
    </row>
    <row r="190" spans="1:11" x14ac:dyDescent="0.35">
      <c r="A190" s="5" t="s">
        <v>191</v>
      </c>
      <c r="B190" s="48">
        <f>DATE(Table1__2[[#This Row],[Year]],Table1__2[[#This Row],[Month]],Table1__2[[#This Row],[Day]])</f>
        <v>45703</v>
      </c>
      <c r="C190" s="1">
        <v>15</v>
      </c>
      <c r="D190" s="1">
        <v>2</v>
      </c>
      <c r="E190" s="1">
        <v>2025</v>
      </c>
      <c r="F190" s="1" t="s">
        <v>25</v>
      </c>
      <c r="G190" s="1" t="s">
        <v>13</v>
      </c>
      <c r="H190" s="1" t="s">
        <v>14</v>
      </c>
      <c r="I190" s="1">
        <v>8</v>
      </c>
      <c r="J190" s="1">
        <v>37</v>
      </c>
      <c r="K190" s="6">
        <f>Table1__2[[#This Row],[Quantity]]*Table1__2[[#This Row],[Unit_Price]]</f>
        <v>296</v>
      </c>
    </row>
    <row r="191" spans="1:11" x14ac:dyDescent="0.35">
      <c r="A191" s="5" t="s">
        <v>59</v>
      </c>
      <c r="B191" s="48">
        <f>DATE(Table1__2[[#This Row],[Year]],Table1__2[[#This Row],[Month]],Table1__2[[#This Row],[Day]])</f>
        <v>45662</v>
      </c>
      <c r="C191" s="1">
        <v>5</v>
      </c>
      <c r="D191" s="1">
        <v>1</v>
      </c>
      <c r="E191" s="1">
        <v>2025</v>
      </c>
      <c r="F191" s="1" t="s">
        <v>29</v>
      </c>
      <c r="G191" s="1" t="s">
        <v>23</v>
      </c>
      <c r="H191" s="1" t="s">
        <v>10</v>
      </c>
      <c r="I191" s="1">
        <v>1</v>
      </c>
      <c r="J191" s="1">
        <v>284</v>
      </c>
      <c r="K191" s="6">
        <f>Table1__2[[#This Row],[Quantity]]*Table1__2[[#This Row],[Unit_Price]]</f>
        <v>284</v>
      </c>
    </row>
    <row r="192" spans="1:11" x14ac:dyDescent="0.35">
      <c r="A192" s="5" t="s">
        <v>86</v>
      </c>
      <c r="B192" s="48">
        <f>DATE(Table1__2[[#This Row],[Year]],Table1__2[[#This Row],[Month]],Table1__2[[#This Row],[Day]])</f>
        <v>45685</v>
      </c>
      <c r="C192" s="1">
        <v>28</v>
      </c>
      <c r="D192" s="1">
        <v>1</v>
      </c>
      <c r="E192" s="1">
        <v>2025</v>
      </c>
      <c r="F192" s="1" t="s">
        <v>25</v>
      </c>
      <c r="G192" s="1" t="s">
        <v>9</v>
      </c>
      <c r="H192" s="1" t="s">
        <v>10</v>
      </c>
      <c r="I192" s="1">
        <v>6</v>
      </c>
      <c r="J192" s="1">
        <v>38</v>
      </c>
      <c r="K192" s="6">
        <f>Table1__2[[#This Row],[Quantity]]*Table1__2[[#This Row],[Unit_Price]]</f>
        <v>228</v>
      </c>
    </row>
    <row r="193" spans="1:11" x14ac:dyDescent="0.35">
      <c r="A193" s="5" t="s">
        <v>93</v>
      </c>
      <c r="B193" s="48">
        <f>DATE(Table1__2[[#This Row],[Year]],Table1__2[[#This Row],[Month]],Table1__2[[#This Row],[Day]])</f>
        <v>45702</v>
      </c>
      <c r="C193" s="1">
        <v>14</v>
      </c>
      <c r="D193" s="1">
        <v>2</v>
      </c>
      <c r="E193" s="1">
        <v>2025</v>
      </c>
      <c r="F193" s="1" t="s">
        <v>12</v>
      </c>
      <c r="G193" s="1" t="s">
        <v>17</v>
      </c>
      <c r="H193" s="1" t="s">
        <v>18</v>
      </c>
      <c r="I193" s="1">
        <v>3</v>
      </c>
      <c r="J193" s="1">
        <v>70</v>
      </c>
      <c r="K193" s="6">
        <f>Table1__2[[#This Row],[Quantity]]*Table1__2[[#This Row],[Unit_Price]]</f>
        <v>210</v>
      </c>
    </row>
    <row r="194" spans="1:11" x14ac:dyDescent="0.35">
      <c r="A194" s="5" t="s">
        <v>88</v>
      </c>
      <c r="B194" s="48">
        <f>DATE(Table1__2[[#This Row],[Year]],Table1__2[[#This Row],[Month]],Table1__2[[#This Row],[Day]])</f>
        <v>45681</v>
      </c>
      <c r="C194" s="1">
        <v>24</v>
      </c>
      <c r="D194" s="1">
        <v>1</v>
      </c>
      <c r="E194" s="1">
        <v>2025</v>
      </c>
      <c r="F194" s="1" t="s">
        <v>25</v>
      </c>
      <c r="G194" s="1" t="s">
        <v>17</v>
      </c>
      <c r="H194" s="1" t="s">
        <v>18</v>
      </c>
      <c r="I194" s="1">
        <v>2</v>
      </c>
      <c r="J194" s="1">
        <v>96</v>
      </c>
      <c r="K194" s="6">
        <f>Table1__2[[#This Row],[Quantity]]*Table1__2[[#This Row],[Unit_Price]]</f>
        <v>192</v>
      </c>
    </row>
    <row r="195" spans="1:11" x14ac:dyDescent="0.35">
      <c r="A195" s="5" t="s">
        <v>192</v>
      </c>
      <c r="B195" s="48">
        <f>DATE(Table1__2[[#This Row],[Year]],Table1__2[[#This Row],[Month]],Table1__2[[#This Row],[Day]])</f>
        <v>45693</v>
      </c>
      <c r="C195" s="1">
        <v>5</v>
      </c>
      <c r="D195" s="1">
        <v>2</v>
      </c>
      <c r="E195" s="1">
        <v>2025</v>
      </c>
      <c r="F195" s="1" t="s">
        <v>29</v>
      </c>
      <c r="G195" s="1" t="s">
        <v>32</v>
      </c>
      <c r="H195" s="1" t="s">
        <v>18</v>
      </c>
      <c r="I195" s="1">
        <v>1</v>
      </c>
      <c r="J195" s="1">
        <v>139</v>
      </c>
      <c r="K195" s="6">
        <f>Table1__2[[#This Row],[Quantity]]*Table1__2[[#This Row],[Unit_Price]]</f>
        <v>139</v>
      </c>
    </row>
    <row r="196" spans="1:11" x14ac:dyDescent="0.35">
      <c r="A196" s="5" t="s">
        <v>72</v>
      </c>
      <c r="B196" s="48">
        <f>DATE(Table1__2[[#This Row],[Year]],Table1__2[[#This Row],[Month]],Table1__2[[#This Row],[Day]])</f>
        <v>45704</v>
      </c>
      <c r="C196" s="1">
        <v>16</v>
      </c>
      <c r="D196" s="1">
        <v>2</v>
      </c>
      <c r="E196" s="1">
        <v>2025</v>
      </c>
      <c r="F196" s="1" t="s">
        <v>29</v>
      </c>
      <c r="G196" s="1" t="s">
        <v>30</v>
      </c>
      <c r="H196" s="1" t="s">
        <v>18</v>
      </c>
      <c r="I196" s="1">
        <v>4</v>
      </c>
      <c r="J196" s="1">
        <v>31</v>
      </c>
      <c r="K196" s="6">
        <f>Table1__2[[#This Row],[Quantity]]*Table1__2[[#This Row],[Unit_Price]]</f>
        <v>124</v>
      </c>
    </row>
    <row r="197" spans="1:11" x14ac:dyDescent="0.35">
      <c r="A197" s="5" t="s">
        <v>57</v>
      </c>
      <c r="B197" s="48">
        <f>DATE(Table1__2[[#This Row],[Year]],Table1__2[[#This Row],[Month]],Table1__2[[#This Row],[Day]])</f>
        <v>45689</v>
      </c>
      <c r="C197" s="1">
        <v>1</v>
      </c>
      <c r="D197" s="1">
        <v>2</v>
      </c>
      <c r="E197" s="1">
        <v>2025</v>
      </c>
      <c r="F197" s="1" t="s">
        <v>12</v>
      </c>
      <c r="G197" s="1" t="s">
        <v>27</v>
      </c>
      <c r="H197" s="1" t="s">
        <v>18</v>
      </c>
      <c r="I197" s="1">
        <v>1</v>
      </c>
      <c r="J197" s="1">
        <v>120</v>
      </c>
      <c r="K197" s="6">
        <f>Table1__2[[#This Row],[Quantity]]*Table1__2[[#This Row],[Unit_Price]]</f>
        <v>120</v>
      </c>
    </row>
    <row r="198" spans="1:11" x14ac:dyDescent="0.35">
      <c r="A198" s="5" t="s">
        <v>194</v>
      </c>
      <c r="B198" s="48">
        <f>DATE(Table1__2[[#This Row],[Year]],Table1__2[[#This Row],[Month]],Table1__2[[#This Row],[Day]])</f>
        <v>45715</v>
      </c>
      <c r="C198" s="1">
        <v>27</v>
      </c>
      <c r="D198" s="1">
        <v>2</v>
      </c>
      <c r="E198" s="1">
        <v>2025</v>
      </c>
      <c r="F198" s="1" t="s">
        <v>25</v>
      </c>
      <c r="G198" s="1" t="s">
        <v>30</v>
      </c>
      <c r="H198" s="1" t="s">
        <v>18</v>
      </c>
      <c r="I198" s="1">
        <v>1</v>
      </c>
      <c r="J198" s="1">
        <v>117</v>
      </c>
      <c r="K198" s="6">
        <f>Table1__2[[#This Row],[Quantity]]*Table1__2[[#This Row],[Unit_Price]]</f>
        <v>117</v>
      </c>
    </row>
    <row r="199" spans="1:11" x14ac:dyDescent="0.35">
      <c r="A199" s="5" t="s">
        <v>78</v>
      </c>
      <c r="B199" s="48">
        <f>DATE(Table1__2[[#This Row],[Year]],Table1__2[[#This Row],[Month]],Table1__2[[#This Row],[Day]])</f>
        <v>45715</v>
      </c>
      <c r="C199" s="1">
        <v>27</v>
      </c>
      <c r="D199" s="1">
        <v>2</v>
      </c>
      <c r="E199" s="1">
        <v>2025</v>
      </c>
      <c r="F199" s="1" t="s">
        <v>29</v>
      </c>
      <c r="G199" s="1" t="s">
        <v>23</v>
      </c>
      <c r="H199" s="1" t="s">
        <v>10</v>
      </c>
      <c r="I199" s="1">
        <v>1</v>
      </c>
      <c r="J199" s="1">
        <v>76</v>
      </c>
      <c r="K199" s="6">
        <f>Table1__2[[#This Row],[Quantity]]*Table1__2[[#This Row],[Unit_Price]]</f>
        <v>76</v>
      </c>
    </row>
    <row r="200" spans="1:11" x14ac:dyDescent="0.35">
      <c r="A200" s="5" t="s">
        <v>19</v>
      </c>
      <c r="B200" s="48">
        <f>DATE(Table1__2[[#This Row],[Year]],Table1__2[[#This Row],[Month]],Table1__2[[#This Row],[Day]])</f>
        <v>45692</v>
      </c>
      <c r="C200" s="1">
        <v>4</v>
      </c>
      <c r="D200" s="1">
        <v>2</v>
      </c>
      <c r="E200" s="1">
        <v>2025</v>
      </c>
      <c r="F200" s="1" t="s">
        <v>8</v>
      </c>
      <c r="G200" s="1" t="s">
        <v>17</v>
      </c>
      <c r="H200" s="1" t="s">
        <v>18</v>
      </c>
      <c r="I200" s="1">
        <v>1</v>
      </c>
      <c r="J200" s="1">
        <v>74</v>
      </c>
      <c r="K200" s="6">
        <f>Table1__2[[#This Row],[Quantity]]*Table1__2[[#This Row],[Unit_Price]]</f>
        <v>74</v>
      </c>
    </row>
    <row r="201" spans="1:11" x14ac:dyDescent="0.35">
      <c r="A201" s="5" t="s">
        <v>48</v>
      </c>
      <c r="B201" s="48">
        <f>DATE(Table1__2[[#This Row],[Year]],Table1__2[[#This Row],[Month]],Table1__2[[#This Row],[Day]])</f>
        <v>45666</v>
      </c>
      <c r="C201" s="1">
        <v>9</v>
      </c>
      <c r="D201" s="1">
        <v>1</v>
      </c>
      <c r="E201" s="1">
        <v>2025</v>
      </c>
      <c r="F201" s="1" t="s">
        <v>25</v>
      </c>
      <c r="G201" s="1" t="s">
        <v>13</v>
      </c>
      <c r="H201" s="1" t="s">
        <v>14</v>
      </c>
      <c r="I201" s="1">
        <v>3</v>
      </c>
      <c r="J201" s="1">
        <v>18</v>
      </c>
      <c r="K201" s="6">
        <f>Table1__2[[#This Row],[Quantity]]*Table1__2[[#This Row],[Unit_Price]]</f>
        <v>54</v>
      </c>
    </row>
    <row r="202" spans="1:11" x14ac:dyDescent="0.35">
      <c r="A202" s="5" t="s">
        <v>90</v>
      </c>
      <c r="B202" s="48">
        <f>DATE(Table1__2[[#This Row],[Year]],Table1__2[[#This Row],[Month]],Table1__2[[#This Row],[Day]])</f>
        <v>45714</v>
      </c>
      <c r="C202" s="1">
        <v>26</v>
      </c>
      <c r="D202" s="1">
        <v>2</v>
      </c>
      <c r="E202" s="1">
        <v>2025</v>
      </c>
      <c r="F202" s="1" t="s">
        <v>25</v>
      </c>
      <c r="G202" s="1" t="s">
        <v>32</v>
      </c>
      <c r="H202" s="1" t="s">
        <v>18</v>
      </c>
      <c r="I202" s="1">
        <v>1</v>
      </c>
      <c r="J202" s="1">
        <v>44</v>
      </c>
      <c r="K202" s="6">
        <f>Table1__2[[#This Row],[Quantity]]*Table1__2[[#This Row],[Unit_Price]]</f>
        <v>44</v>
      </c>
    </row>
    <row r="203" spans="1:11" x14ac:dyDescent="0.35">
      <c r="A203" s="5" t="s">
        <v>34</v>
      </c>
      <c r="B203" s="48">
        <f>DATE(Table1__2[[#This Row],[Year]],Table1__2[[#This Row],[Month]],Table1__2[[#This Row],[Day]])</f>
        <v>45691</v>
      </c>
      <c r="C203" s="1">
        <v>3</v>
      </c>
      <c r="D203" s="1">
        <v>2</v>
      </c>
      <c r="E203" s="1">
        <v>2025</v>
      </c>
      <c r="F203" s="1" t="s">
        <v>12</v>
      </c>
      <c r="G203" s="1" t="s">
        <v>17</v>
      </c>
      <c r="H203" s="1" t="s">
        <v>18</v>
      </c>
      <c r="I203" s="1">
        <v>2</v>
      </c>
      <c r="J203" s="1">
        <v>21</v>
      </c>
      <c r="K203" s="6">
        <f>Table1__2[[#This Row],[Quantity]]*Table1__2[[#This Row],[Unit_Price]]</f>
        <v>42</v>
      </c>
    </row>
    <row r="204" spans="1:11" x14ac:dyDescent="0.35">
      <c r="A204" s="7" t="s">
        <v>16</v>
      </c>
      <c r="B204" s="49">
        <f>DATE(Table1__2[[#This Row],[Year]],Table1__2[[#This Row],[Month]],Table1__2[[#This Row],[Day]])</f>
        <v>45662</v>
      </c>
      <c r="C204" s="9">
        <v>5</v>
      </c>
      <c r="D204" s="9">
        <v>1</v>
      </c>
      <c r="E204" s="9">
        <v>2025</v>
      </c>
      <c r="F204" s="9" t="s">
        <v>8</v>
      </c>
      <c r="G204" s="9" t="s">
        <v>17</v>
      </c>
      <c r="H204" s="9" t="s">
        <v>18</v>
      </c>
      <c r="I204" s="9">
        <v>2</v>
      </c>
      <c r="J204" s="9">
        <v>20</v>
      </c>
      <c r="K204" s="10">
        <f>Table1__2[[#This Row],[Quantity]]*Table1__2[[#This Row],[Unit_Price]]</f>
        <v>40</v>
      </c>
    </row>
  </sheetData>
  <mergeCells count="1">
    <mergeCell ref="A1:F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71BBB-F782-4D85-AD41-FAAA29A8C886}">
  <dimension ref="C1:F25"/>
  <sheetViews>
    <sheetView topLeftCell="A4" workbookViewId="0">
      <selection activeCell="F19" sqref="F19"/>
    </sheetView>
  </sheetViews>
  <sheetFormatPr defaultRowHeight="14.5" x14ac:dyDescent="0.35"/>
  <cols>
    <col min="3" max="3" width="18.6328125" customWidth="1"/>
    <col min="4" max="4" width="27.1796875" customWidth="1"/>
  </cols>
  <sheetData>
    <row r="1" spans="3:6" x14ac:dyDescent="0.35">
      <c r="C1" s="39" t="s">
        <v>250</v>
      </c>
      <c r="D1" s="40"/>
      <c r="E1" s="40"/>
      <c r="F1" s="41"/>
    </row>
    <row r="2" spans="3:6" ht="15" thickBot="1" x14ac:dyDescent="0.4">
      <c r="C2" s="42"/>
      <c r="D2" s="43"/>
      <c r="E2" s="43"/>
      <c r="F2" s="44"/>
    </row>
    <row r="5" spans="3:6" x14ac:dyDescent="0.35">
      <c r="C5" s="15" t="s">
        <v>2</v>
      </c>
      <c r="D5" s="1" t="s">
        <v>247</v>
      </c>
    </row>
    <row r="6" spans="3:6" ht="20" customHeight="1" x14ac:dyDescent="0.35">
      <c r="C6" s="18" t="s">
        <v>25</v>
      </c>
      <c r="D6" s="19">
        <v>116463</v>
      </c>
    </row>
    <row r="7" spans="3:6" ht="17" customHeight="1" x14ac:dyDescent="0.35">
      <c r="C7" s="18" t="s">
        <v>12</v>
      </c>
      <c r="D7" s="19">
        <v>104808</v>
      </c>
    </row>
    <row r="8" spans="3:6" x14ac:dyDescent="0.35">
      <c r="C8" s="18" t="s">
        <v>8</v>
      </c>
      <c r="D8" s="19">
        <v>108472</v>
      </c>
    </row>
    <row r="9" spans="3:6" x14ac:dyDescent="0.35">
      <c r="C9" s="18" t="s">
        <v>29</v>
      </c>
      <c r="D9" s="19">
        <v>117043</v>
      </c>
    </row>
    <row r="10" spans="3:6" ht="19.5" customHeight="1" x14ac:dyDescent="0.35">
      <c r="C10" s="16" t="s">
        <v>249</v>
      </c>
      <c r="D10" s="17">
        <v>446786</v>
      </c>
    </row>
    <row r="14" spans="3:6" x14ac:dyDescent="0.35">
      <c r="C14" s="15" t="s">
        <v>251</v>
      </c>
      <c r="D14" s="1" t="s">
        <v>247</v>
      </c>
    </row>
    <row r="15" spans="3:6" x14ac:dyDescent="0.35">
      <c r="C15" s="16" t="s">
        <v>18</v>
      </c>
      <c r="D15" s="17">
        <v>227030</v>
      </c>
    </row>
    <row r="16" spans="3:6" x14ac:dyDescent="0.35">
      <c r="C16" s="20" t="s">
        <v>27</v>
      </c>
      <c r="D16" s="21">
        <v>64187</v>
      </c>
    </row>
    <row r="17" spans="3:4" x14ac:dyDescent="0.35">
      <c r="C17" s="20" t="s">
        <v>17</v>
      </c>
      <c r="D17" s="21">
        <v>53108</v>
      </c>
    </row>
    <row r="18" spans="3:4" x14ac:dyDescent="0.35">
      <c r="C18" s="20" t="s">
        <v>32</v>
      </c>
      <c r="D18" s="21">
        <v>43717</v>
      </c>
    </row>
    <row r="19" spans="3:4" x14ac:dyDescent="0.35">
      <c r="C19" s="20" t="s">
        <v>30</v>
      </c>
      <c r="D19" s="21">
        <v>66018</v>
      </c>
    </row>
    <row r="20" spans="3:4" x14ac:dyDescent="0.35">
      <c r="C20" s="16" t="s">
        <v>14</v>
      </c>
      <c r="D20" s="17">
        <v>90635</v>
      </c>
    </row>
    <row r="21" spans="3:4" x14ac:dyDescent="0.35">
      <c r="C21" s="22" t="s">
        <v>13</v>
      </c>
      <c r="D21" s="23">
        <v>90635</v>
      </c>
    </row>
    <row r="22" spans="3:4" x14ac:dyDescent="0.35">
      <c r="C22" s="16" t="s">
        <v>10</v>
      </c>
      <c r="D22" s="17">
        <v>129121</v>
      </c>
    </row>
    <row r="23" spans="3:4" x14ac:dyDescent="0.35">
      <c r="C23" s="24" t="s">
        <v>9</v>
      </c>
      <c r="D23" s="25">
        <v>78975</v>
      </c>
    </row>
    <row r="24" spans="3:4" x14ac:dyDescent="0.35">
      <c r="C24" s="24" t="s">
        <v>23</v>
      </c>
      <c r="D24" s="25">
        <v>50146</v>
      </c>
    </row>
    <row r="25" spans="3:4" x14ac:dyDescent="0.35">
      <c r="C25" s="16" t="s">
        <v>249</v>
      </c>
      <c r="D25" s="17">
        <v>446786</v>
      </c>
    </row>
  </sheetData>
  <mergeCells count="1">
    <mergeCell ref="C1:F2"/>
  </mergeCells>
  <pageMargins left="0.7" right="0.7" top="0.75" bottom="0.75" header="0.3" footer="0.3"/>
  <pageSetup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3EB13-484D-4C06-8BC0-9F31D1072734}">
  <dimension ref="A1:P28"/>
  <sheetViews>
    <sheetView topLeftCell="A22" workbookViewId="0">
      <selection activeCell="B15" sqref="B15"/>
    </sheetView>
  </sheetViews>
  <sheetFormatPr defaultRowHeight="14.5" x14ac:dyDescent="0.35"/>
  <cols>
    <col min="1" max="1" width="12.36328125" bestFit="1" customWidth="1"/>
    <col min="2" max="2" width="19.7265625" bestFit="1" customWidth="1"/>
    <col min="14" max="14" width="12.36328125" bestFit="1" customWidth="1"/>
    <col min="15" max="15" width="19.7265625" bestFit="1" customWidth="1"/>
  </cols>
  <sheetData>
    <row r="1" spans="1:6" x14ac:dyDescent="0.35">
      <c r="A1" s="26" t="s">
        <v>252</v>
      </c>
      <c r="B1" s="27"/>
      <c r="C1" s="27"/>
      <c r="D1" s="27"/>
      <c r="E1" s="27"/>
      <c r="F1" s="28"/>
    </row>
    <row r="2" spans="1:6" ht="15" thickBot="1" x14ac:dyDescent="0.4">
      <c r="A2" s="29"/>
      <c r="B2" s="30"/>
      <c r="C2" s="30"/>
      <c r="D2" s="30"/>
      <c r="E2" s="30"/>
      <c r="F2" s="31"/>
    </row>
    <row r="5" spans="1:6" x14ac:dyDescent="0.35">
      <c r="A5" s="15" t="s">
        <v>248</v>
      </c>
      <c r="B5" s="1" t="s">
        <v>247</v>
      </c>
    </row>
    <row r="6" spans="1:6" x14ac:dyDescent="0.35">
      <c r="A6" s="32" t="s">
        <v>25</v>
      </c>
      <c r="B6" s="19">
        <v>116463</v>
      </c>
    </row>
    <row r="7" spans="1:6" x14ac:dyDescent="0.35">
      <c r="A7" s="32" t="s">
        <v>12</v>
      </c>
      <c r="B7" s="19">
        <v>104808</v>
      </c>
    </row>
    <row r="8" spans="1:6" x14ac:dyDescent="0.35">
      <c r="A8" s="32" t="s">
        <v>8</v>
      </c>
      <c r="B8" s="19">
        <v>108472</v>
      </c>
    </row>
    <row r="9" spans="1:6" x14ac:dyDescent="0.35">
      <c r="A9" s="32" t="s">
        <v>29</v>
      </c>
      <c r="B9" s="19">
        <v>117043</v>
      </c>
    </row>
    <row r="10" spans="1:6" x14ac:dyDescent="0.35">
      <c r="A10" s="16" t="s">
        <v>249</v>
      </c>
      <c r="B10" s="17">
        <v>446786</v>
      </c>
    </row>
    <row r="23" spans="1:16" ht="15" thickBot="1" x14ac:dyDescent="0.4"/>
    <row r="24" spans="1:16" x14ac:dyDescent="0.35">
      <c r="A24" s="33" t="s">
        <v>248</v>
      </c>
      <c r="B24" s="34" t="s">
        <v>247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</row>
    <row r="25" spans="1:16" x14ac:dyDescent="0.35">
      <c r="A25" s="37" t="s">
        <v>18</v>
      </c>
      <c r="B25" s="38">
        <v>227030</v>
      </c>
    </row>
    <row r="26" spans="1:16" x14ac:dyDescent="0.35">
      <c r="A26" s="37" t="s">
        <v>14</v>
      </c>
      <c r="B26" s="38">
        <v>90635</v>
      </c>
    </row>
    <row r="27" spans="1:16" x14ac:dyDescent="0.35">
      <c r="A27" s="37" t="s">
        <v>10</v>
      </c>
      <c r="B27" s="38">
        <v>129121</v>
      </c>
    </row>
    <row r="28" spans="1:16" ht="15" thickBot="1" x14ac:dyDescent="0.4">
      <c r="A28" s="35" t="s">
        <v>249</v>
      </c>
      <c r="B28" s="36">
        <v>446786</v>
      </c>
    </row>
  </sheetData>
  <mergeCells count="1">
    <mergeCell ref="A1:F2"/>
  </mergeCells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35713-7B1F-48BF-AA7E-08B16EAC3859}">
  <dimension ref="A1:P12"/>
  <sheetViews>
    <sheetView workbookViewId="0">
      <selection activeCell="O7" sqref="O7"/>
    </sheetView>
  </sheetViews>
  <sheetFormatPr defaultRowHeight="14.5" x14ac:dyDescent="0.35"/>
  <sheetData>
    <row r="1" spans="1:16" x14ac:dyDescent="0.35">
      <c r="A1" s="50" t="s">
        <v>253</v>
      </c>
      <c r="B1" s="51"/>
      <c r="C1" s="51"/>
      <c r="D1" s="51"/>
    </row>
    <row r="2" spans="1:16" x14ac:dyDescent="0.35">
      <c r="A2" s="51"/>
      <c r="B2" s="51"/>
      <c r="C2" s="51"/>
      <c r="D2" s="51"/>
    </row>
    <row r="4" spans="1:16" ht="18.5" x14ac:dyDescent="0.35">
      <c r="A4" s="58" t="s">
        <v>254</v>
      </c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</row>
    <row r="5" spans="1:16" ht="18.5" x14ac:dyDescent="0.45">
      <c r="A5" s="59"/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</row>
    <row r="6" spans="1:16" ht="18.5" x14ac:dyDescent="0.45">
      <c r="A6" s="60" t="s">
        <v>255</v>
      </c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1:16" ht="18.5" x14ac:dyDescent="0.45">
      <c r="A7" s="59"/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</row>
    <row r="8" spans="1:16" ht="18.5" x14ac:dyDescent="0.45">
      <c r="A8" s="61" t="s">
        <v>256</v>
      </c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</row>
    <row r="9" spans="1:16" ht="19" thickBot="1" x14ac:dyDescent="0.5">
      <c r="A9" s="62"/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</row>
    <row r="10" spans="1:16" ht="19" thickBot="1" x14ac:dyDescent="0.5">
      <c r="A10" s="64" t="s">
        <v>257</v>
      </c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6"/>
    </row>
    <row r="11" spans="1:16" ht="18.5" x14ac:dyDescent="0.45">
      <c r="A11" s="63"/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</row>
    <row r="12" spans="1:16" ht="18.5" x14ac:dyDescent="0.45">
      <c r="A12" s="60" t="s">
        <v>258</v>
      </c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</row>
  </sheetData>
  <mergeCells count="6">
    <mergeCell ref="A6:L6"/>
    <mergeCell ref="A8:L8"/>
    <mergeCell ref="A12:L12"/>
    <mergeCell ref="A10:P10"/>
    <mergeCell ref="A1:D2"/>
    <mergeCell ref="A4:L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7C5F0F-B5F8-4D9D-B5E9-4761318DEF0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 Challenge_instructions</vt:lpstr>
      <vt:lpstr>Sales_Data</vt:lpstr>
      <vt:lpstr>Cleaned_data</vt:lpstr>
      <vt:lpstr>pivot tables</vt:lpstr>
      <vt:lpstr>charts</vt:lpstr>
      <vt:lpstr>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2026-03-16T06:37:28Z</dcterms:created>
  <dcterms:modified xsi:type="dcterms:W3CDTF">2026-03-16T08:44:40Z</dcterms:modified>
</cp:coreProperties>
</file>