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F6315825-6661-4ACC-817A-CEDF0DD04D90}" xr6:coauthVersionLast="36" xr6:coauthVersionMax="36" xr10:uidLastSave="{00000000-0000-0000-0000-000000000000}"/>
  <bookViews>
    <workbookView xWindow="0" yWindow="0" windowWidth="19200" windowHeight="6350" activeTab="1" xr2:uid="{BAED58B5-11BF-480D-9850-01189B5C59D8}"/>
  </bookViews>
  <sheets>
    <sheet name="raw data" sheetId="1" r:id="rId1"/>
    <sheet name="cleaned data" sheetId="3" r:id="rId2"/>
    <sheet name="pivot table" sheetId="4" r:id="rId3"/>
    <sheet name="pie chart" sheetId="6" r:id="rId4"/>
    <sheet name="bar chart" sheetId="7" r:id="rId5"/>
    <sheet name="Line_chart" sheetId="8" r:id="rId6"/>
    <sheet name="dashboard" sheetId="9" r:id="rId7"/>
    <sheet name="Insights" sheetId="10" r:id="rId8"/>
  </sheets>
  <definedNames>
    <definedName name="ExternalData_1" localSheetId="1" hidden="1">'cleaned data'!$A$1:$H$151</definedName>
    <definedName name="Slicer_category">#N/A</definedName>
    <definedName name="Slicer_ticket_id">#N/A</definedName>
  </definedNames>
  <calcPr calcId="191029"/>
  <pivotCaches>
    <pivotCache cacheId="2" r:id="rId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2FDD81-8E76-42E1-A5E9-0EF9B43EFBBF}" keepAlive="1" name="Query - Table2" description="Connection to the 'Table2' query in the workbook." type="5" refreshedVersion="6"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<sst xmlns="http://schemas.openxmlformats.org/spreadsheetml/2006/main" count="1715" uniqueCount="347">
  <si>
    <t>ticket_id</t>
  </si>
  <si>
    <t>submission_date</t>
  </si>
  <si>
    <t>resolution_date</t>
  </si>
  <si>
    <t>category</t>
  </si>
  <si>
    <t>assigned_analyst</t>
  </si>
  <si>
    <t>description</t>
  </si>
  <si>
    <t>priority</t>
  </si>
  <si>
    <t>TICKET-1000</t>
  </si>
  <si>
    <t>Other</t>
  </si>
  <si>
    <t>Toni Wiley</t>
  </si>
  <si>
    <t>Dream part subject until full. Brother century suddenly above. Six eight benefit animal move best.</t>
  </si>
  <si>
    <t>High</t>
  </si>
  <si>
    <t>TICKET-1001</t>
  </si>
  <si>
    <t>Software</t>
  </si>
  <si>
    <t>Tanya Jones</t>
  </si>
  <si>
    <t>Application X is crashing every time I open it. Lead how phone also score player later blue.</t>
  </si>
  <si>
    <t>Medium</t>
  </si>
  <si>
    <t>TICKET-1002</t>
  </si>
  <si>
    <t>Sheila Ball</t>
  </si>
  <si>
    <t>Black attack cold would page. Reality she war a chance. Physical hour Mr item red agreement for.</t>
  </si>
  <si>
    <t>TICKET-1003</t>
  </si>
  <si>
    <t>Hardware</t>
  </si>
  <si>
    <t>Cynthia Rich</t>
  </si>
  <si>
    <t>My laptop's keyboard isn't working properly, some keys are stuck. Tree culture above effort more national whether.</t>
  </si>
  <si>
    <t>TICKET-1004</t>
  </si>
  <si>
    <t>Janice Burns</t>
  </si>
  <si>
    <t>Application X is crashing every time I open it. Order wrong fight foreign bad house pick.</t>
  </si>
  <si>
    <t>TICKET-1005</t>
  </si>
  <si>
    <t>Application X is crashing every time I open it. Sport should network realize relate very voice.</t>
  </si>
  <si>
    <t>Low</t>
  </si>
  <si>
    <t>TICKET-1006</t>
  </si>
  <si>
    <t>Access</t>
  </si>
  <si>
    <t>Autumn Ryan</t>
  </si>
  <si>
    <t>I'm locked out of my account and can't reset my password. If rather year suffer wrong.</t>
  </si>
  <si>
    <t>TICKET-1007</t>
  </si>
  <si>
    <t>Amanda White</t>
  </si>
  <si>
    <t>Application X is crashing every time I open it. Here bill leg region training. Grow new may.</t>
  </si>
  <si>
    <t>TICKET-1008</t>
  </si>
  <si>
    <t>My laptop's keyboard isn't working properly, some keys are stuck. Common maintain theory involve ok detail.</t>
  </si>
  <si>
    <t>TICKET-1009</t>
  </si>
  <si>
    <t>Application X is crashing every time I open it. Responsibility again recently traditional word.</t>
  </si>
  <si>
    <t>TICKET-1010</t>
  </si>
  <si>
    <t>Adam Stone</t>
  </si>
  <si>
    <t>Application X is crashing every time I open it. Structure this woman born.</t>
  </si>
  <si>
    <t>TICKET-1011</t>
  </si>
  <si>
    <t>Network</t>
  </si>
  <si>
    <t>Natasha Harris</t>
  </si>
  <si>
    <t>Can't connect to the Wi-Fi. It's showing 'No internet access'. Maintain without college strong few not week.</t>
  </si>
  <si>
    <t>TICKET-1012</t>
  </si>
  <si>
    <t>Can't connect to the Wi-Fi. It's showing 'No internet access'. Official human task door century energy Mr.</t>
  </si>
  <si>
    <t>TICKET-1013</t>
  </si>
  <si>
    <t>Application X is crashing every time I open it. Spring operation performance glass choice kind.</t>
  </si>
  <si>
    <t>TICKET-1014</t>
  </si>
  <si>
    <t>Application X is crashing every time I open it. Summer yard maintain fire ask eight.</t>
  </si>
  <si>
    <t>TICKET-1015</t>
  </si>
  <si>
    <t>Marvin West</t>
  </si>
  <si>
    <t>Application X is crashing every time I open it. Least check between event. Can brother two form.</t>
  </si>
  <si>
    <t>TICKET-1016</t>
  </si>
  <si>
    <t>Application X is crashing every time I open it. Resource in affect charge customer accept dream.</t>
  </si>
  <si>
    <t>TICKET-1017</t>
  </si>
  <si>
    <t>Security</t>
  </si>
  <si>
    <t>Thought national word picture each deep.</t>
  </si>
  <si>
    <t>TICKET-1018</t>
  </si>
  <si>
    <t>Can't connect to the Wi-Fi. It's showing 'No internet access'. Card series research else cup though artist.</t>
  </si>
  <si>
    <t>TICKET-1019</t>
  </si>
  <si>
    <t>My laptop's keyboard isn't working properly, some keys are stuck. Young up grow after offer east region would.</t>
  </si>
  <si>
    <t>TICKET-1020</t>
  </si>
  <si>
    <t>Application X is crashing every time I open it. Nice then management.</t>
  </si>
  <si>
    <t>TICKET-1021</t>
  </si>
  <si>
    <t>Application X is crashing every time I open it. Water act involve follow hot.</t>
  </si>
  <si>
    <t>TICKET-1022</t>
  </si>
  <si>
    <t>Application X is crashing every time I open it. Another such apply table let.</t>
  </si>
  <si>
    <t>TICKET-1023</t>
  </si>
  <si>
    <t>Application X is crashing every time I open it. Senior per draw day mention sea quickly.</t>
  </si>
  <si>
    <t>TICKET-1024</t>
  </si>
  <si>
    <t>Can't connect to the Wi-Fi. It's showing 'No internet access'. Race Republican expect east might collection.</t>
  </si>
  <si>
    <t>TICKET-1025</t>
  </si>
  <si>
    <t>Application X is crashing every time I open it. Total maintain service writer.</t>
  </si>
  <si>
    <t>TICKET-1026</t>
  </si>
  <si>
    <t>Can't connect to the Wi-Fi. It's showing 'No internet access'. Individual herself decide generation.</t>
  </si>
  <si>
    <t>TICKET-1027</t>
  </si>
  <si>
    <t>Billing</t>
  </si>
  <si>
    <t>Yourself floor foot character choose. Brother prepare but film key name.</t>
  </si>
  <si>
    <t>TICKET-1028</t>
  </si>
  <si>
    <t>Successful radio play network yet. Fill director direction ready white.</t>
  </si>
  <si>
    <t>TICKET-1029</t>
  </si>
  <si>
    <t>Application X is crashing every time I open it. Southern beat general first much hotel agency.</t>
  </si>
  <si>
    <t>TICKET-1030</t>
  </si>
  <si>
    <t>Can't connect to the Wi-Fi. It's showing 'No internet access'. Cup government by life reduce each customer.</t>
  </si>
  <si>
    <t>TICKET-1031</t>
  </si>
  <si>
    <t>Application X is crashing every time I open it. Market growth film.</t>
  </si>
  <si>
    <t>TICKET-1032</t>
  </si>
  <si>
    <t>Can't connect to the Wi-Fi. It's showing 'No internet access'. Could north state feel others participant.</t>
  </si>
  <si>
    <t>TICKET-1033</t>
  </si>
  <si>
    <t>Follow chair add finally these plan staff. Across shoulder school free.</t>
  </si>
  <si>
    <t>TICKET-1034</t>
  </si>
  <si>
    <t>Application X is crashing every time I open it. Bag half join treat water by affect.</t>
  </si>
  <si>
    <t>TICKET-1035</t>
  </si>
  <si>
    <t>My laptop's keyboard isn't working properly, some keys are stuck. Science bad news pressure anything probably save.</t>
  </si>
  <si>
    <t>TICKET-1036</t>
  </si>
  <si>
    <t>Application X is crashing every time I open it. Fund project find law identify close worker.</t>
  </si>
  <si>
    <t>TICKET-1037</t>
  </si>
  <si>
    <t>Rate play media air. Trade thank hundred choice reduce remember possible us.</t>
  </si>
  <si>
    <t>TICKET-1038</t>
  </si>
  <si>
    <t>Application X is crashing every time I open it. Effort avoid door shoulder cut.</t>
  </si>
  <si>
    <t>TICKET-1039</t>
  </si>
  <si>
    <t>I'm locked out of my account and can't reset my password. Point fine stop radio chair tree career scene.</t>
  </si>
  <si>
    <t>TICKET-1040</t>
  </si>
  <si>
    <t>Can't connect to the Wi-Fi. It's showing 'No internet access'. Simple practice operation move put.</t>
  </si>
  <si>
    <t>TICKET-1041</t>
  </si>
  <si>
    <t>My laptop's keyboard isn't working properly, some keys are stuck. Firm discuss audience say amount.</t>
  </si>
  <si>
    <t>TICKET-1042</t>
  </si>
  <si>
    <t>Physical business information.
Activity else house another. Still protect admit answer.</t>
  </si>
  <si>
    <t>TICKET-1043</t>
  </si>
  <si>
    <t>Application X is crashing every time I open it. Anything despite not.</t>
  </si>
  <si>
    <t>Critical</t>
  </si>
  <si>
    <t>TICKET-1044</t>
  </si>
  <si>
    <t>My laptop's keyboard isn't working properly, some keys are stuck. Film answer tax different carry represent.</t>
  </si>
  <si>
    <t>TICKET-1045</t>
  </si>
  <si>
    <t>Application X is crashing every time I open it. American computer let go event.</t>
  </si>
  <si>
    <t>TICKET-1046</t>
  </si>
  <si>
    <t>Can't connect to the Wi-Fi. It's showing 'No internet access'. Build oil wait community less happen.</t>
  </si>
  <si>
    <t>TICKET-1047</t>
  </si>
  <si>
    <t>I'm locked out of my account and can't reset my password. Decide stuff agree national politics current son.</t>
  </si>
  <si>
    <t>TICKET-1048</t>
  </si>
  <si>
    <t>Can't connect to the Wi-Fi. It's showing 'No internet access'. Phone interview worker could.</t>
  </si>
  <si>
    <t>TICKET-1049</t>
  </si>
  <si>
    <t>Can't connect to the Wi-Fi. It's showing 'No internet access'. Together life least mission.</t>
  </si>
  <si>
    <t>TICKET-1050</t>
  </si>
  <si>
    <t>If forget newspaper behavior note put. Almost affect entire. Trial set capital real.</t>
  </si>
  <si>
    <t>TICKET-1051</t>
  </si>
  <si>
    <t>Application X is crashing every time I open it. My sound short.</t>
  </si>
  <si>
    <t>TICKET-1052</t>
  </si>
  <si>
    <t>Application X is crashing every time I open it. Where culture site value set.</t>
  </si>
  <si>
    <t>TICKET-1053</t>
  </si>
  <si>
    <t>Application X is crashing every time I open it. Go claim billion small experience old.</t>
  </si>
  <si>
    <t>TICKET-1054</t>
  </si>
  <si>
    <t>Can't connect to the Wi-Fi. It's showing 'No internet access'. Option name including.</t>
  </si>
  <si>
    <t>TICKET-1055</t>
  </si>
  <si>
    <t>I'm locked out of my account and can't reset my password. Idea enter expert decision something.</t>
  </si>
  <si>
    <t>TICKET-1056</t>
  </si>
  <si>
    <t>Through culture similar finally. Oil world money about fine street small.</t>
  </si>
  <si>
    <t>TICKET-1057</t>
  </si>
  <si>
    <t>Weight go sort sign law response since. Sister other actually Mrs fight everything get.</t>
  </si>
  <si>
    <t>TICKET-1058</t>
  </si>
  <si>
    <t>Particular ask company nearly exist exactly friend.</t>
  </si>
  <si>
    <t>TICKET-1059</t>
  </si>
  <si>
    <t>Application X is crashing every time I open it. Skin subject purpose baby training.</t>
  </si>
  <si>
    <t>TICKET-1060</t>
  </si>
  <si>
    <t>My laptop's keyboard isn't working properly, some keys are stuck. Than none office improve.</t>
  </si>
  <si>
    <t>TICKET-1061</t>
  </si>
  <si>
    <t>Application X is crashing every time I open it. With because article scene father black.</t>
  </si>
  <si>
    <t>TICKET-1062</t>
  </si>
  <si>
    <t>Application X is crashing every time I open it. Food pass energy fund need read anything.</t>
  </si>
  <si>
    <t>TICKET-1063</t>
  </si>
  <si>
    <t>I'm locked out of my account and can't reset my password. Agreement news significant cultural agree.</t>
  </si>
  <si>
    <t>TICKET-1064</t>
  </si>
  <si>
    <t>I'm locked out of my account and can't reset my password. Especially under always tend teacher build.</t>
  </si>
  <si>
    <t>TICKET-1065</t>
  </si>
  <si>
    <t>Can't connect to the Wi-Fi. It's showing 'No internet access'. Child as debate economy.</t>
  </si>
  <si>
    <t>TICKET-1066</t>
  </si>
  <si>
    <t>My laptop's keyboard isn't working properly, some keys are stuck. Someone poor mission fill free.</t>
  </si>
  <si>
    <t>TICKET-1067</t>
  </si>
  <si>
    <t>Can't connect to the Wi-Fi. It's showing 'No internet access'. Represent safe scene wall dog.</t>
  </si>
  <si>
    <t>TICKET-1068</t>
  </si>
  <si>
    <t>Application X is crashing every time I open it. Claim success those baby.</t>
  </si>
  <si>
    <t>TICKET-1069</t>
  </si>
  <si>
    <t>Application X is crashing every time I open it. Term lot their. Dark itself deal race Democrat.</t>
  </si>
  <si>
    <t>TICKET-1070</t>
  </si>
  <si>
    <t>My laptop's keyboard isn't working properly, some keys are stuck. Bad past glass strategy. Above skin station.</t>
  </si>
  <si>
    <t>TICKET-1071</t>
  </si>
  <si>
    <t>Application X is crashing every time I open it. Tv control generation away public remain.</t>
  </si>
  <si>
    <t>TICKET-1072</t>
  </si>
  <si>
    <t>Can't connect to the Wi-Fi. It's showing 'No internet access'. Alone skill foot benefit.</t>
  </si>
  <si>
    <t>TICKET-1073</t>
  </si>
  <si>
    <t>Media respond them indicate. Up movie television stop. Garden ten city already close.</t>
  </si>
  <si>
    <t>TICKET-1074</t>
  </si>
  <si>
    <t>Lay support mouth control understand could. Husband for evening upon involve.</t>
  </si>
  <si>
    <t>TICKET-1075</t>
  </si>
  <si>
    <t>Company month civil season include. Onto life for both little.</t>
  </si>
  <si>
    <t>TICKET-1076</t>
  </si>
  <si>
    <t>Application X is crashing every time I open it. Candidate push mind exactly feel.</t>
  </si>
  <si>
    <t>TICKET-1077</t>
  </si>
  <si>
    <t>Writer city suffer within important recently difference. Wait only relationship free.</t>
  </si>
  <si>
    <t>TICKET-1078</t>
  </si>
  <si>
    <t>Application X is crashing every time I open it. Form customer bill interest remember which.</t>
  </si>
  <si>
    <t>TICKET-1079</t>
  </si>
  <si>
    <t>Can't connect to the Wi-Fi. It's showing 'No internet access'. Agree begin guess ask choice low themselves born.</t>
  </si>
  <si>
    <t>TICKET-1080</t>
  </si>
  <si>
    <t>Application X is crashing every time I open it. Center worry nor whole.</t>
  </si>
  <si>
    <t>TICKET-1081</t>
  </si>
  <si>
    <t>I'm locked out of my account and can't reset my password. Miss son responsibility hour.</t>
  </si>
  <si>
    <t>TICKET-1082</t>
  </si>
  <si>
    <t>Application X is crashing every time I open it. Develop course foreign no either.</t>
  </si>
  <si>
    <t>TICKET-1083</t>
  </si>
  <si>
    <t>Public husband return country service very. Be exactly time firm yard price bad.</t>
  </si>
  <si>
    <t>TICKET-1084</t>
  </si>
  <si>
    <t>My laptop's keyboard isn't working properly, some keys are stuck. Perform author more owner girl message.</t>
  </si>
  <si>
    <t>TICKET-1085</t>
  </si>
  <si>
    <t>I'm locked out of my account and can't reset my password. Church stop environment.</t>
  </si>
  <si>
    <t>TICKET-1086</t>
  </si>
  <si>
    <t>Application X is crashing every time I open it. Everyone body modern feeling shake loss.</t>
  </si>
  <si>
    <t>TICKET-1087</t>
  </si>
  <si>
    <t>My laptop's keyboard isn't working properly, some keys are stuck. Whole material thus despite firm more.</t>
  </si>
  <si>
    <t>TICKET-1088</t>
  </si>
  <si>
    <t>Application X is crashing every time I open it. Until statement century seat vote never.</t>
  </si>
  <si>
    <t>TICKET-1089</t>
  </si>
  <si>
    <t>Application X is crashing every time I open it. Big season the.</t>
  </si>
  <si>
    <t>TICKET-1090</t>
  </si>
  <si>
    <t>Application X is crashing every time I open it. Usually career attention realize.</t>
  </si>
  <si>
    <t>TICKET-1091</t>
  </si>
  <si>
    <t>Application X is crashing every time I open it. Firm tonight statement feel Mrs music.</t>
  </si>
  <si>
    <t>TICKET-1092</t>
  </si>
  <si>
    <t>Can't connect to the Wi-Fi. It's showing 'No internet access'. Life change act. Through imagine again whole.</t>
  </si>
  <si>
    <t>TICKET-1093</t>
  </si>
  <si>
    <t>Including development attack wide. Concern his environment attack program rest team.</t>
  </si>
  <si>
    <t>TICKET-1094</t>
  </si>
  <si>
    <t>I'm locked out of my account and can't reset my password. Another collection another many.</t>
  </si>
  <si>
    <t>TICKET-1095</t>
  </si>
  <si>
    <t>Compare or at environmental. Six what them fall. Husband certain institution phone resource blood.</t>
  </si>
  <si>
    <t>TICKET-1096</t>
  </si>
  <si>
    <t>I'm locked out of my account and can't reset my password. Medical let door front. Law end always.</t>
  </si>
  <si>
    <t>TICKET-1097</t>
  </si>
  <si>
    <t>My laptop's keyboard isn't working properly, some keys are stuck. Rich fire power city. Water career next relate.</t>
  </si>
  <si>
    <t>TICKET-1098</t>
  </si>
  <si>
    <t>Application X is crashing every time I open it. Result happy song want finish stuff.</t>
  </si>
  <si>
    <t>TICKET-1099</t>
  </si>
  <si>
    <t>My laptop's keyboard isn't working properly, some keys are stuck. Themselves big matter happy small.</t>
  </si>
  <si>
    <t>TICKET-1100</t>
  </si>
  <si>
    <t>Application X is crashing every time I open it. Agent will respond help.</t>
  </si>
  <si>
    <t>TICKET-1101</t>
  </si>
  <si>
    <t>Application X is crashing every time I open it. Short commercial everybody difficult change.</t>
  </si>
  <si>
    <t>TICKET-1102</t>
  </si>
  <si>
    <t>Any today within none hot again green. Remember attack event view father.</t>
  </si>
  <si>
    <t>TICKET-1103</t>
  </si>
  <si>
    <t>Application X is crashing every time I open it. Represent senior his finish include nothing.</t>
  </si>
  <si>
    <t>TICKET-1104</t>
  </si>
  <si>
    <t>She certain boy build. Test bag country president environment.</t>
  </si>
  <si>
    <t>TICKET-1105</t>
  </si>
  <si>
    <t>Can't connect to the Wi-Fi. It's showing 'No internet access'. Hair job save son.</t>
  </si>
  <si>
    <t>TICKET-1106</t>
  </si>
  <si>
    <t>Growth middle establish public.</t>
  </si>
  <si>
    <t>TICKET-1107</t>
  </si>
  <si>
    <t>My laptop's keyboard isn't working properly, some keys are stuck. Produce require line letter listen often.</t>
  </si>
  <si>
    <t>TICKET-1108</t>
  </si>
  <si>
    <t>My laptop's keyboard isn't working properly, some keys are stuck. At bag continue.</t>
  </si>
  <si>
    <t>TICKET-1109</t>
  </si>
  <si>
    <t>Application X is crashing every time I open it. Without pass book tend.</t>
  </si>
  <si>
    <t>TICKET-1110</t>
  </si>
  <si>
    <t>I'm locked out of my account and can't reset my password. Right where add.</t>
  </si>
  <si>
    <t>TICKET-1111</t>
  </si>
  <si>
    <t>Application X is crashing every time I open it. Argue team senior low training.</t>
  </si>
  <si>
    <t>TICKET-1112</t>
  </si>
  <si>
    <t>Plant attack should. Drive international today. Pretty statement her upon nation.</t>
  </si>
  <si>
    <t>TICKET-1113</t>
  </si>
  <si>
    <t>My laptop's keyboard isn't working properly, some keys are stuck. Chance place build body population.</t>
  </si>
  <si>
    <t>TICKET-1114</t>
  </si>
  <si>
    <t>Something million activity. Interview under cover career under. Can address show public.</t>
  </si>
  <si>
    <t>TICKET-1115</t>
  </si>
  <si>
    <t>I'm locked out of my account and can't reset my password. Receive nature option oil read trouble.</t>
  </si>
  <si>
    <t>TICKET-1116</t>
  </si>
  <si>
    <t>Application X is crashing every time I open it. Toward ago director condition food share meet.</t>
  </si>
  <si>
    <t>TICKET-1117</t>
  </si>
  <si>
    <t>I'm locked out of my account and can't reset my password. For we when drive. Start identify now throw.</t>
  </si>
  <si>
    <t>TICKET-1118</t>
  </si>
  <si>
    <t>Even focus animal civil quality lay skill. Need maybe former return.</t>
  </si>
  <si>
    <t>TICKET-1119</t>
  </si>
  <si>
    <t>My laptop's keyboard isn't working properly, some keys are stuck. Cup money work certainly color.</t>
  </si>
  <si>
    <t>TICKET-1120</t>
  </si>
  <si>
    <t>Clear late win beat. Those arm say year him science door.</t>
  </si>
  <si>
    <t>TICKET-1121</t>
  </si>
  <si>
    <t>I'm locked out of my account and can't reset my password. Purpose almost nature create authority company.</t>
  </si>
  <si>
    <t>TICKET-1122</t>
  </si>
  <si>
    <t>Application X is crashing every time I open it. Garden better chance impact where how member.</t>
  </si>
  <si>
    <t>TICKET-1123</t>
  </si>
  <si>
    <t>Can't connect to the Wi-Fi. It's showing 'No internet access'. Bag without else red. Able year decision others.</t>
  </si>
  <si>
    <t>TICKET-1124</t>
  </si>
  <si>
    <t>Police machine star. Computer lead control across blue eye force. Parent set professor sit couple.</t>
  </si>
  <si>
    <t>TICKET-1125</t>
  </si>
  <si>
    <t>Group resource dinner knowledge scientist Mr. Police simply enter training too.</t>
  </si>
  <si>
    <t>TICKET-1126</t>
  </si>
  <si>
    <t>My laptop's keyboard isn't working properly, some keys are stuck. Go wear understand relate.</t>
  </si>
  <si>
    <t>TICKET-1127</t>
  </si>
  <si>
    <t>Application X is crashing every time I open it. Gas mother rate wind fight success medical.</t>
  </si>
  <si>
    <t>TICKET-1128</t>
  </si>
  <si>
    <t>Can't connect to the Wi-Fi. It's showing 'No internet access'. These entire million eat play sit.</t>
  </si>
  <si>
    <t>TICKET-1129</t>
  </si>
  <si>
    <t>Draw once season talk forward. Decision partner north realize finish one question.</t>
  </si>
  <si>
    <t>TICKET-1130</t>
  </si>
  <si>
    <t>Catch travel form bar pretty himself team. Light suffer evidence land ok may guy.</t>
  </si>
  <si>
    <t>TICKET-1131</t>
  </si>
  <si>
    <t>Act believe heavy watch best game part. Too language mean. Cut age personal resource.</t>
  </si>
  <si>
    <t>TICKET-1132</t>
  </si>
  <si>
    <t>Year name message voice data. Protect word up today. Break drop already life.</t>
  </si>
  <si>
    <t>TICKET-1133</t>
  </si>
  <si>
    <t>I'm locked out of my account and can't reset my password. Maintain tree story research hair why.</t>
  </si>
  <si>
    <t>TICKET-1134</t>
  </si>
  <si>
    <t>Memory process group arm attack indicate mother. View three prepare by.</t>
  </si>
  <si>
    <t>TICKET-1135</t>
  </si>
  <si>
    <t>Foreign sign be money cup raise keep. Right scene market.</t>
  </si>
  <si>
    <t>TICKET-1136</t>
  </si>
  <si>
    <t>My laptop's keyboard isn't working properly, some keys are stuck. Certain six among before.</t>
  </si>
  <si>
    <t>TICKET-1137</t>
  </si>
  <si>
    <t>My laptop's keyboard isn't working properly, some keys are stuck. Ago his against point garden drug.</t>
  </si>
  <si>
    <t>TICKET-1138</t>
  </si>
  <si>
    <t>Application X is crashing every time I open it. Any state food citizen.</t>
  </si>
  <si>
    <t>TICKET-1139</t>
  </si>
  <si>
    <t>Can't connect to the Wi-Fi. It's showing 'No internet access'. He particularly begin save area finally word.</t>
  </si>
  <si>
    <t>TICKET-1140</t>
  </si>
  <si>
    <t>My laptop's keyboard isn't working properly, some keys are stuck. Serious simply mind cost movie actually.</t>
  </si>
  <si>
    <t>TICKET-1141</t>
  </si>
  <si>
    <t>My laptop's keyboard isn't working properly, some keys are stuck. Social approach mother white.</t>
  </si>
  <si>
    <t>TICKET-1142</t>
  </si>
  <si>
    <t>Can't connect to the Wi-Fi. It's showing 'No internet access'. Enter room up sound nature.</t>
  </si>
  <si>
    <t>TICKET-1143</t>
  </si>
  <si>
    <t>My laptop's keyboard isn't working properly, some keys are stuck. Effort to since question.</t>
  </si>
  <si>
    <t>TICKET-1144</t>
  </si>
  <si>
    <t>Application X is crashing every time I open it. These drive president building.</t>
  </si>
  <si>
    <t>TICKET-1145</t>
  </si>
  <si>
    <t>Suddenly effort she without without.</t>
  </si>
  <si>
    <t>TICKET-1146</t>
  </si>
  <si>
    <t>Can't connect to the Wi-Fi. It's showing 'No internet access'. Should that nation can difficult nice.</t>
  </si>
  <si>
    <t>TICKET-1147</t>
  </si>
  <si>
    <t>Look scene real owner agent whose specific. Along they yourself character year or behind.</t>
  </si>
  <si>
    <t>TICKET-1148</t>
  </si>
  <si>
    <t>You reflect radio. Especially speech wish interesting wife.</t>
  </si>
  <si>
    <t>TICKET-1149</t>
  </si>
  <si>
    <t>My laptop's keyboard isn't working properly, some keys are stuck. Event pattern factor deep manager work.</t>
  </si>
  <si>
    <t>Row Labels</t>
  </si>
  <si>
    <t>Grand Total</t>
  </si>
  <si>
    <t>Jun</t>
  </si>
  <si>
    <t>Jul</t>
  </si>
  <si>
    <t>Aug</t>
  </si>
  <si>
    <t>Sep</t>
  </si>
  <si>
    <t>Count of ticket_id</t>
  </si>
  <si>
    <t>Day of Week</t>
  </si>
  <si>
    <t>Resolution Time</t>
  </si>
  <si>
    <t>Friday</t>
  </si>
  <si>
    <t>Monday</t>
  </si>
  <si>
    <t>Thursday</t>
  </si>
  <si>
    <t>Wednesday</t>
  </si>
  <si>
    <t>Saturday</t>
  </si>
  <si>
    <t>Tuesday</t>
  </si>
  <si>
    <t>Sunday</t>
  </si>
  <si>
    <t>Resolution_time</t>
  </si>
  <si>
    <t>Column Labels</t>
  </si>
  <si>
    <t>Average of Resolution_time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</si>
</sst>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2">
    <fill>
      <patternFill patternType="none"/>
    </fill>
    <fill>
      <patternFill patternType="gray125"/>
    </fill>
  </fills>
  <borders count="2">
    <border>
      <left/>
      <right/>
      <top/>
      <bottom/>
      <diagonal/>
    </border>
    <border>
      <left/>
      <right/>
      <top style="thin">
        <color theme="7"/>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applyFill="1" applyBorder="1"/>
    <xf numFmtId="0" fontId="0" fillId="0" borderId="1" xfId="0" applyFont="1" applyFill="1" applyBorder="1"/>
    <xf numFmtId="47" fontId="0" fillId="0" borderId="1" xfId="0" applyNumberFormat="1" applyFont="1" applyFill="1" applyBorder="1"/>
    <xf numFmtId="0" fontId="0" fillId="0" borderId="1" xfId="0" applyFont="1" applyFill="1" applyBorder="1" applyAlignment="1">
      <alignment wrapText="1"/>
    </xf>
    <xf numFmtId="0" fontId="0" fillId="0" borderId="0" xfId="0" applyFont="1" applyFill="1" applyBorder="1"/>
    <xf numFmtId="0" fontId="1" fillId="0" borderId="0" xfId="0" applyFont="1" applyFill="1"/>
    <xf numFmtId="22" fontId="0" fillId="0" borderId="0" xfId="0" applyNumberFormat="1"/>
  </cellXfs>
  <cellStyles count="1">
    <cellStyle name="Normal" xfId="0" builtinId="0"/>
  </cellStyles>
  <dxfs count="15">
    <dxf>
      <numFmt numFmtId="0" formatCode="General"/>
    </dxf>
    <dxf>
      <numFmt numFmtId="27" formatCode="dd/mm/yyyy\ hh:mm"/>
    </dxf>
    <dxf>
      <numFmt numFmtId="27" formatCode="dd/mm/yyyy\ hh:mm"/>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right/>
        <top style="thin">
          <color theme="7"/>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right/>
        <top style="thin">
          <color theme="7"/>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7"/>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7"/>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7"/>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7"/>
        </top>
        <bottom/>
      </border>
    </dxf>
    <dxf>
      <font>
        <b val="0"/>
        <i val="0"/>
        <strike val="0"/>
        <condense val="0"/>
        <extend val="0"/>
        <outline val="0"/>
        <shadow val="0"/>
        <u val="none"/>
        <vertAlign val="baseline"/>
        <sz val="11"/>
        <color theme="1"/>
        <name val="Calibri"/>
        <family val="2"/>
        <scheme val="minor"/>
      </font>
      <numFmt numFmtId="29" formatCode="mm:ss.0"/>
      <fill>
        <patternFill patternType="none">
          <fgColor indexed="64"/>
          <bgColor auto="1"/>
        </patternFill>
      </fill>
      <border diagonalUp="0" diagonalDown="0" outline="0">
        <left/>
        <right/>
        <top style="thin">
          <color theme="7"/>
        </top>
        <bottom/>
      </border>
    </dxf>
    <dxf>
      <font>
        <b val="0"/>
        <i val="0"/>
        <strike val="0"/>
        <condense val="0"/>
        <extend val="0"/>
        <outline val="0"/>
        <shadow val="0"/>
        <u val="none"/>
        <vertAlign val="baseline"/>
        <sz val="11"/>
        <color theme="1"/>
        <name val="Calibri"/>
        <family val="2"/>
        <scheme val="minor"/>
      </font>
      <numFmt numFmtId="29" formatCode="mm:ss.0"/>
      <fill>
        <patternFill patternType="none">
          <fgColor indexed="64"/>
          <bgColor auto="1"/>
        </patternFill>
      </fill>
      <border diagonalUp="0" diagonalDown="0" outline="0">
        <left/>
        <right/>
        <top style="thin">
          <color theme="7"/>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7"/>
        </top>
        <bottom/>
      </border>
    </dxf>
    <dxf>
      <border outline="0">
        <left style="thin">
          <color theme="7"/>
        </left>
        <right style="thin">
          <color theme="7"/>
        </right>
        <top style="thin">
          <color theme="7"/>
        </top>
        <bottom style="thin">
          <color theme="7"/>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i val="0"/>
        <strike val="0"/>
        <condense val="0"/>
        <extend val="0"/>
        <outline val="0"/>
        <shadow val="0"/>
        <u val="none"/>
        <vertAlign val="baseline"/>
        <sz val="11"/>
        <color theme="0"/>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5.xlsx]pivot table!PivotTable2</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s>
    <c:plotArea>
      <c:layout/>
      <c:lineChart>
        <c:grouping val="standard"/>
        <c:varyColors val="0"/>
        <c:ser>
          <c:idx val="0"/>
          <c:order val="0"/>
          <c:tx>
            <c:strRef>
              <c:f>'pivot table'!$B$3:$B$4</c:f>
              <c:strCache>
                <c:ptCount val="1"/>
                <c:pt idx="0">
                  <c:v>Monday</c:v>
                </c:pt>
              </c:strCache>
            </c:strRef>
          </c:tx>
          <c:spPr>
            <a:ln w="28575" cap="rnd">
              <a:solidFill>
                <a:schemeClr val="accent1"/>
              </a:solidFill>
              <a:round/>
            </a:ln>
            <a:effectLst/>
          </c:spPr>
          <c:marker>
            <c:symbol val="none"/>
          </c:marker>
          <c:cat>
            <c:strRef>
              <c:f>'pivot table'!$A$5:$A$9</c:f>
              <c:strCache>
                <c:ptCount val="4"/>
                <c:pt idx="0">
                  <c:v>Jun</c:v>
                </c:pt>
                <c:pt idx="1">
                  <c:v>Jul</c:v>
                </c:pt>
                <c:pt idx="2">
                  <c:v>Aug</c:v>
                </c:pt>
                <c:pt idx="3">
                  <c:v>Sep</c:v>
                </c:pt>
              </c:strCache>
            </c:strRef>
          </c:cat>
          <c:val>
            <c:numRef>
              <c:f>'pivot table'!$B$5:$B$9</c:f>
              <c:numCache>
                <c:formatCode>General</c:formatCode>
                <c:ptCount val="4"/>
                <c:pt idx="0">
                  <c:v>4</c:v>
                </c:pt>
                <c:pt idx="1">
                  <c:v>8</c:v>
                </c:pt>
                <c:pt idx="2">
                  <c:v>4</c:v>
                </c:pt>
                <c:pt idx="3">
                  <c:v>3</c:v>
                </c:pt>
              </c:numCache>
            </c:numRef>
          </c:val>
          <c:smooth val="0"/>
          <c:extLst>
            <c:ext xmlns:c16="http://schemas.microsoft.com/office/drawing/2014/chart" uri="{C3380CC4-5D6E-409C-BE32-E72D297353CC}">
              <c16:uniqueId val="{00000000-43DA-4168-86F1-46DCD7E551F0}"/>
            </c:ext>
          </c:extLst>
        </c:ser>
        <c:ser>
          <c:idx val="1"/>
          <c:order val="1"/>
          <c:tx>
            <c:strRef>
              <c:f>'pivot table'!$C$3:$C$4</c:f>
              <c:strCache>
                <c:ptCount val="1"/>
                <c:pt idx="0">
                  <c:v>Tuesday</c:v>
                </c:pt>
              </c:strCache>
            </c:strRef>
          </c:tx>
          <c:spPr>
            <a:ln w="28575" cap="rnd">
              <a:solidFill>
                <a:schemeClr val="accent2"/>
              </a:solidFill>
              <a:round/>
            </a:ln>
            <a:effectLst/>
          </c:spPr>
          <c:marker>
            <c:symbol val="none"/>
          </c:marker>
          <c:cat>
            <c:strRef>
              <c:f>'pivot table'!$A$5:$A$9</c:f>
              <c:strCache>
                <c:ptCount val="4"/>
                <c:pt idx="0">
                  <c:v>Jun</c:v>
                </c:pt>
                <c:pt idx="1">
                  <c:v>Jul</c:v>
                </c:pt>
                <c:pt idx="2">
                  <c:v>Aug</c:v>
                </c:pt>
                <c:pt idx="3">
                  <c:v>Sep</c:v>
                </c:pt>
              </c:strCache>
            </c:strRef>
          </c:cat>
          <c:val>
            <c:numRef>
              <c:f>'pivot table'!$C$5:$C$9</c:f>
              <c:numCache>
                <c:formatCode>General</c:formatCode>
                <c:ptCount val="4"/>
                <c:pt idx="0">
                  <c:v>5</c:v>
                </c:pt>
                <c:pt idx="1">
                  <c:v>8</c:v>
                </c:pt>
                <c:pt idx="2">
                  <c:v>5</c:v>
                </c:pt>
                <c:pt idx="3">
                  <c:v>4</c:v>
                </c:pt>
              </c:numCache>
            </c:numRef>
          </c:val>
          <c:smooth val="0"/>
          <c:extLst>
            <c:ext xmlns:c16="http://schemas.microsoft.com/office/drawing/2014/chart" uri="{C3380CC4-5D6E-409C-BE32-E72D297353CC}">
              <c16:uniqueId val="{00000001-43DA-4168-86F1-46DCD7E551F0}"/>
            </c:ext>
          </c:extLst>
        </c:ser>
        <c:ser>
          <c:idx val="2"/>
          <c:order val="2"/>
          <c:tx>
            <c:strRef>
              <c:f>'pivot table'!$D$3:$D$4</c:f>
              <c:strCache>
                <c:ptCount val="1"/>
                <c:pt idx="0">
                  <c:v>Wednesday</c:v>
                </c:pt>
              </c:strCache>
            </c:strRef>
          </c:tx>
          <c:spPr>
            <a:ln w="28575" cap="rnd">
              <a:solidFill>
                <a:schemeClr val="accent3"/>
              </a:solidFill>
              <a:round/>
            </a:ln>
            <a:effectLst/>
          </c:spPr>
          <c:marker>
            <c:symbol val="none"/>
          </c:marker>
          <c:cat>
            <c:strRef>
              <c:f>'pivot table'!$A$5:$A$9</c:f>
              <c:strCache>
                <c:ptCount val="4"/>
                <c:pt idx="0">
                  <c:v>Jun</c:v>
                </c:pt>
                <c:pt idx="1">
                  <c:v>Jul</c:v>
                </c:pt>
                <c:pt idx="2">
                  <c:v>Aug</c:v>
                </c:pt>
                <c:pt idx="3">
                  <c:v>Sep</c:v>
                </c:pt>
              </c:strCache>
            </c:strRef>
          </c:cat>
          <c:val>
            <c:numRef>
              <c:f>'pivot table'!$D$5:$D$9</c:f>
              <c:numCache>
                <c:formatCode>General</c:formatCode>
                <c:ptCount val="4"/>
                <c:pt idx="0">
                  <c:v>4</c:v>
                </c:pt>
                <c:pt idx="1">
                  <c:v>7</c:v>
                </c:pt>
                <c:pt idx="2">
                  <c:v>7</c:v>
                </c:pt>
                <c:pt idx="3">
                  <c:v>6</c:v>
                </c:pt>
              </c:numCache>
            </c:numRef>
          </c:val>
          <c:smooth val="0"/>
          <c:extLst>
            <c:ext xmlns:c16="http://schemas.microsoft.com/office/drawing/2014/chart" uri="{C3380CC4-5D6E-409C-BE32-E72D297353CC}">
              <c16:uniqueId val="{00000002-43DA-4168-86F1-46DCD7E551F0}"/>
            </c:ext>
          </c:extLst>
        </c:ser>
        <c:ser>
          <c:idx val="3"/>
          <c:order val="3"/>
          <c:tx>
            <c:strRef>
              <c:f>'pivot table'!$E$3:$E$4</c:f>
              <c:strCache>
                <c:ptCount val="1"/>
                <c:pt idx="0">
                  <c:v>Thursday</c:v>
                </c:pt>
              </c:strCache>
            </c:strRef>
          </c:tx>
          <c:spPr>
            <a:ln w="28575" cap="rnd">
              <a:solidFill>
                <a:schemeClr val="accent4"/>
              </a:solidFill>
              <a:round/>
            </a:ln>
            <a:effectLst/>
          </c:spPr>
          <c:marker>
            <c:symbol val="none"/>
          </c:marker>
          <c:cat>
            <c:strRef>
              <c:f>'pivot table'!$A$5:$A$9</c:f>
              <c:strCache>
                <c:ptCount val="4"/>
                <c:pt idx="0">
                  <c:v>Jun</c:v>
                </c:pt>
                <c:pt idx="1">
                  <c:v>Jul</c:v>
                </c:pt>
                <c:pt idx="2">
                  <c:v>Aug</c:v>
                </c:pt>
                <c:pt idx="3">
                  <c:v>Sep</c:v>
                </c:pt>
              </c:strCache>
            </c:strRef>
          </c:cat>
          <c:val>
            <c:numRef>
              <c:f>'pivot table'!$E$5:$E$9</c:f>
              <c:numCache>
                <c:formatCode>General</c:formatCode>
                <c:ptCount val="4"/>
                <c:pt idx="0">
                  <c:v>3</c:v>
                </c:pt>
                <c:pt idx="1">
                  <c:v>11</c:v>
                </c:pt>
                <c:pt idx="2">
                  <c:v>5</c:v>
                </c:pt>
                <c:pt idx="3">
                  <c:v>4</c:v>
                </c:pt>
              </c:numCache>
            </c:numRef>
          </c:val>
          <c:smooth val="0"/>
          <c:extLst>
            <c:ext xmlns:c16="http://schemas.microsoft.com/office/drawing/2014/chart" uri="{C3380CC4-5D6E-409C-BE32-E72D297353CC}">
              <c16:uniqueId val="{00000003-43DA-4168-86F1-46DCD7E551F0}"/>
            </c:ext>
          </c:extLst>
        </c:ser>
        <c:ser>
          <c:idx val="4"/>
          <c:order val="4"/>
          <c:tx>
            <c:strRef>
              <c:f>'pivot table'!$F$3:$F$4</c:f>
              <c:strCache>
                <c:ptCount val="1"/>
                <c:pt idx="0">
                  <c:v>Friday</c:v>
                </c:pt>
              </c:strCache>
            </c:strRef>
          </c:tx>
          <c:spPr>
            <a:ln w="28575" cap="rnd">
              <a:solidFill>
                <a:schemeClr val="accent5"/>
              </a:solidFill>
              <a:round/>
            </a:ln>
            <a:effectLst/>
          </c:spPr>
          <c:marker>
            <c:symbol val="none"/>
          </c:marker>
          <c:cat>
            <c:strRef>
              <c:f>'pivot table'!$A$5:$A$9</c:f>
              <c:strCache>
                <c:ptCount val="4"/>
                <c:pt idx="0">
                  <c:v>Jun</c:v>
                </c:pt>
                <c:pt idx="1">
                  <c:v>Jul</c:v>
                </c:pt>
                <c:pt idx="2">
                  <c:v>Aug</c:v>
                </c:pt>
                <c:pt idx="3">
                  <c:v>Sep</c:v>
                </c:pt>
              </c:strCache>
            </c:strRef>
          </c:cat>
          <c:val>
            <c:numRef>
              <c:f>'pivot table'!$F$5:$F$9</c:f>
              <c:numCache>
                <c:formatCode>General</c:formatCode>
                <c:ptCount val="4"/>
                <c:pt idx="0">
                  <c:v>4</c:v>
                </c:pt>
                <c:pt idx="1">
                  <c:v>5</c:v>
                </c:pt>
                <c:pt idx="2">
                  <c:v>5</c:v>
                </c:pt>
                <c:pt idx="3">
                  <c:v>2</c:v>
                </c:pt>
              </c:numCache>
            </c:numRef>
          </c:val>
          <c:smooth val="0"/>
          <c:extLst>
            <c:ext xmlns:c16="http://schemas.microsoft.com/office/drawing/2014/chart" uri="{C3380CC4-5D6E-409C-BE32-E72D297353CC}">
              <c16:uniqueId val="{00000004-43DA-4168-86F1-46DCD7E551F0}"/>
            </c:ext>
          </c:extLst>
        </c:ser>
        <c:ser>
          <c:idx val="5"/>
          <c:order val="5"/>
          <c:tx>
            <c:strRef>
              <c:f>'pivot table'!$G$3:$G$4</c:f>
              <c:strCache>
                <c:ptCount val="1"/>
                <c:pt idx="0">
                  <c:v>Saturday</c:v>
                </c:pt>
              </c:strCache>
            </c:strRef>
          </c:tx>
          <c:spPr>
            <a:ln w="28575" cap="rnd">
              <a:solidFill>
                <a:schemeClr val="accent6"/>
              </a:solidFill>
              <a:round/>
            </a:ln>
            <a:effectLst/>
          </c:spPr>
          <c:marker>
            <c:symbol val="none"/>
          </c:marker>
          <c:cat>
            <c:strRef>
              <c:f>'pivot table'!$A$5:$A$9</c:f>
              <c:strCache>
                <c:ptCount val="4"/>
                <c:pt idx="0">
                  <c:v>Jun</c:v>
                </c:pt>
                <c:pt idx="1">
                  <c:v>Jul</c:v>
                </c:pt>
                <c:pt idx="2">
                  <c:v>Aug</c:v>
                </c:pt>
                <c:pt idx="3">
                  <c:v>Sep</c:v>
                </c:pt>
              </c:strCache>
            </c:strRef>
          </c:cat>
          <c:val>
            <c:numRef>
              <c:f>'pivot table'!$G$5:$G$9</c:f>
              <c:numCache>
                <c:formatCode>General</c:formatCode>
                <c:ptCount val="4"/>
                <c:pt idx="0">
                  <c:v>2</c:v>
                </c:pt>
                <c:pt idx="1">
                  <c:v>7</c:v>
                </c:pt>
                <c:pt idx="2">
                  <c:v>7</c:v>
                </c:pt>
                <c:pt idx="3">
                  <c:v>4</c:v>
                </c:pt>
              </c:numCache>
            </c:numRef>
          </c:val>
          <c:smooth val="0"/>
          <c:extLst>
            <c:ext xmlns:c16="http://schemas.microsoft.com/office/drawing/2014/chart" uri="{C3380CC4-5D6E-409C-BE32-E72D297353CC}">
              <c16:uniqueId val="{00000005-43DA-4168-86F1-46DCD7E551F0}"/>
            </c:ext>
          </c:extLst>
        </c:ser>
        <c:ser>
          <c:idx val="6"/>
          <c:order val="6"/>
          <c:tx>
            <c:strRef>
              <c:f>'pivot table'!$H$3:$H$4</c:f>
              <c:strCache>
                <c:ptCount val="1"/>
                <c:pt idx="0">
                  <c:v>Sunday</c:v>
                </c:pt>
              </c:strCache>
            </c:strRef>
          </c:tx>
          <c:spPr>
            <a:ln w="28575" cap="rnd">
              <a:solidFill>
                <a:schemeClr val="accent1">
                  <a:lumMod val="60000"/>
                </a:schemeClr>
              </a:solidFill>
              <a:round/>
            </a:ln>
            <a:effectLst/>
          </c:spPr>
          <c:marker>
            <c:symbol val="none"/>
          </c:marker>
          <c:cat>
            <c:strRef>
              <c:f>'pivot table'!$A$5:$A$9</c:f>
              <c:strCache>
                <c:ptCount val="4"/>
                <c:pt idx="0">
                  <c:v>Jun</c:v>
                </c:pt>
                <c:pt idx="1">
                  <c:v>Jul</c:v>
                </c:pt>
                <c:pt idx="2">
                  <c:v>Aug</c:v>
                </c:pt>
                <c:pt idx="3">
                  <c:v>Sep</c:v>
                </c:pt>
              </c:strCache>
            </c:strRef>
          </c:cat>
          <c:val>
            <c:numRef>
              <c:f>'pivot table'!$H$5:$H$9</c:f>
              <c:numCache>
                <c:formatCode>General</c:formatCode>
                <c:ptCount val="4"/>
                <c:pt idx="0">
                  <c:v>5</c:v>
                </c:pt>
                <c:pt idx="1">
                  <c:v>5</c:v>
                </c:pt>
                <c:pt idx="2">
                  <c:v>12</c:v>
                </c:pt>
                <c:pt idx="3">
                  <c:v>4</c:v>
                </c:pt>
              </c:numCache>
            </c:numRef>
          </c:val>
          <c:smooth val="0"/>
          <c:extLst>
            <c:ext xmlns:c16="http://schemas.microsoft.com/office/drawing/2014/chart" uri="{C3380CC4-5D6E-409C-BE32-E72D297353CC}">
              <c16:uniqueId val="{00000006-43DA-4168-86F1-46DCD7E551F0}"/>
            </c:ext>
          </c:extLst>
        </c:ser>
        <c:dLbls>
          <c:showLegendKey val="0"/>
          <c:showVal val="0"/>
          <c:showCatName val="0"/>
          <c:showSerName val="0"/>
          <c:showPercent val="0"/>
          <c:showBubbleSize val="0"/>
        </c:dLbls>
        <c:smooth val="0"/>
        <c:axId val="2649567"/>
        <c:axId val="2067841103"/>
      </c:lineChart>
      <c:catAx>
        <c:axId val="264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41103"/>
        <c:crosses val="autoZero"/>
        <c:auto val="1"/>
        <c:lblAlgn val="ctr"/>
        <c:lblOffset val="100"/>
        <c:noMultiLvlLbl val="0"/>
      </c:catAx>
      <c:valAx>
        <c:axId val="206784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5.xlsx]pie chart!PivotTable3</c:name>
    <c:fmtId val="0"/>
  </c:pivotSource>
  <c:chart>
    <c:title>
      <c:layout>
        <c:manualLayout>
          <c:xMode val="edge"/>
          <c:yMode val="edge"/>
          <c:x val="0.448055555555555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ED-4078-B14B-6F1236D808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ED-4078-B14B-6F1236D808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ED-4078-B14B-6F1236D808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ED-4078-B14B-6F1236D808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ED-4078-B14B-6F1236D8087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2ED-4078-B14B-6F1236D8087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2ED-4078-B14B-6F1236D8087B}"/>
              </c:ext>
            </c:extLst>
          </c:dPt>
          <c:cat>
            <c:strRef>
              <c:f>'pie chart'!$A$4:$A$11</c:f>
              <c:strCache>
                <c:ptCount val="7"/>
                <c:pt idx="0">
                  <c:v>Access</c:v>
                </c:pt>
                <c:pt idx="1">
                  <c:v>Billing</c:v>
                </c:pt>
                <c:pt idx="2">
                  <c:v>Hardware</c:v>
                </c:pt>
                <c:pt idx="3">
                  <c:v>Network</c:v>
                </c:pt>
                <c:pt idx="4">
                  <c:v>Other</c:v>
                </c:pt>
                <c:pt idx="5">
                  <c:v>Security</c:v>
                </c:pt>
                <c:pt idx="6">
                  <c:v>Software</c:v>
                </c:pt>
              </c:strCache>
            </c:strRef>
          </c:cat>
          <c:val>
            <c:numRef>
              <c:f>'pie chart'!$B$4:$B$11</c:f>
              <c:numCache>
                <c:formatCode>General</c:formatCode>
                <c:ptCount val="7"/>
                <c:pt idx="0">
                  <c:v>1.8494494513889852</c:v>
                </c:pt>
                <c:pt idx="1">
                  <c:v>2.6090075761961393</c:v>
                </c:pt>
                <c:pt idx="2">
                  <c:v>1.7765258376736408</c:v>
                </c:pt>
                <c:pt idx="3">
                  <c:v>2.0881026766301543</c:v>
                </c:pt>
                <c:pt idx="4">
                  <c:v>2.1476218975048038</c:v>
                </c:pt>
                <c:pt idx="5">
                  <c:v>4.0760051223561664</c:v>
                </c:pt>
                <c:pt idx="6">
                  <c:v>2.2784664170290387</c:v>
                </c:pt>
              </c:numCache>
            </c:numRef>
          </c:val>
          <c:extLst>
            <c:ext xmlns:c16="http://schemas.microsoft.com/office/drawing/2014/chart" uri="{C3380CC4-5D6E-409C-BE32-E72D297353CC}">
              <c16:uniqueId val="{00000000-B0A9-4365-B761-3DAF7B0FDB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5.xlsx]bar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chart'!$A$4:$A$8</c:f>
              <c:strCache>
                <c:ptCount val="4"/>
                <c:pt idx="0">
                  <c:v>Jun</c:v>
                </c:pt>
                <c:pt idx="1">
                  <c:v>Jul</c:v>
                </c:pt>
                <c:pt idx="2">
                  <c:v>Aug</c:v>
                </c:pt>
                <c:pt idx="3">
                  <c:v>Sep</c:v>
                </c:pt>
              </c:strCache>
            </c:strRef>
          </c:cat>
          <c:val>
            <c:numRef>
              <c:f>'bar chart'!$B$4:$B$8</c:f>
              <c:numCache>
                <c:formatCode>General</c:formatCode>
                <c:ptCount val="4"/>
                <c:pt idx="0">
                  <c:v>22</c:v>
                </c:pt>
                <c:pt idx="1">
                  <c:v>52</c:v>
                </c:pt>
                <c:pt idx="2">
                  <c:v>44</c:v>
                </c:pt>
                <c:pt idx="3">
                  <c:v>32</c:v>
                </c:pt>
              </c:numCache>
            </c:numRef>
          </c:val>
          <c:extLst>
            <c:ext xmlns:c16="http://schemas.microsoft.com/office/drawing/2014/chart" uri="{C3380CC4-5D6E-409C-BE32-E72D297353CC}">
              <c16:uniqueId val="{00000000-25BB-4CDD-B81B-1186E4ABD448}"/>
            </c:ext>
          </c:extLst>
        </c:ser>
        <c:dLbls>
          <c:showLegendKey val="0"/>
          <c:showVal val="0"/>
          <c:showCatName val="0"/>
          <c:showSerName val="0"/>
          <c:showPercent val="0"/>
          <c:showBubbleSize val="0"/>
        </c:dLbls>
        <c:gapWidth val="182"/>
        <c:axId val="290326512"/>
        <c:axId val="292388576"/>
      </c:barChart>
      <c:catAx>
        <c:axId val="29032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88576"/>
        <c:crosses val="autoZero"/>
        <c:auto val="1"/>
        <c:lblAlgn val="ctr"/>
        <c:lblOffset val="100"/>
        <c:noMultiLvlLbl val="0"/>
      </c:catAx>
      <c:valAx>
        <c:axId val="29238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32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5.xlsx]Line_chart!PivotTable1</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Line_chart!$B$3</c:f>
              <c:strCache>
                <c:ptCount val="1"/>
                <c:pt idx="0">
                  <c:v>Average of Resolution_time</c:v>
                </c:pt>
              </c:strCache>
            </c:strRef>
          </c:tx>
          <c:spPr>
            <a:ln w="28575" cap="rnd">
              <a:solidFill>
                <a:schemeClr val="accent1"/>
              </a:solidFill>
              <a:round/>
            </a:ln>
            <a:effectLst/>
          </c:spPr>
          <c:marker>
            <c:symbol val="none"/>
          </c:marker>
          <c:cat>
            <c:strRef>
              <c:f>Line_chart!$A$4:$A$14</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Line_chart!$B$4:$B$14</c:f>
              <c:numCache>
                <c:formatCode>General</c:formatCode>
                <c:ptCount val="10"/>
                <c:pt idx="0">
                  <c:v>1.9329147460935019</c:v>
                </c:pt>
                <c:pt idx="1">
                  <c:v>3.426067872684992</c:v>
                </c:pt>
                <c:pt idx="2">
                  <c:v>3.0254332591229125</c:v>
                </c:pt>
                <c:pt idx="3">
                  <c:v>2.0922771881806135</c:v>
                </c:pt>
                <c:pt idx="4">
                  <c:v>1.4739726513524567</c:v>
                </c:pt>
                <c:pt idx="5">
                  <c:v>2.6847206524880676</c:v>
                </c:pt>
                <c:pt idx="6">
                  <c:v>1.3939112979496713</c:v>
                </c:pt>
                <c:pt idx="7">
                  <c:v>2.7851482486976238</c:v>
                </c:pt>
                <c:pt idx="8">
                  <c:v>1.9601070421814695</c:v>
                </c:pt>
                <c:pt idx="9">
                  <c:v>1.1359320791988077</c:v>
                </c:pt>
              </c:numCache>
            </c:numRef>
          </c:val>
          <c:smooth val="0"/>
          <c:extLst>
            <c:ext xmlns:c16="http://schemas.microsoft.com/office/drawing/2014/chart" uri="{C3380CC4-5D6E-409C-BE32-E72D297353CC}">
              <c16:uniqueId val="{00000000-D69C-421A-A059-2A86D80E002C}"/>
            </c:ext>
          </c:extLst>
        </c:ser>
        <c:ser>
          <c:idx val="1"/>
          <c:order val="1"/>
          <c:tx>
            <c:strRef>
              <c:f>Line_chart!$C$3</c:f>
              <c:strCache>
                <c:ptCount val="1"/>
                <c:pt idx="0">
                  <c:v>Count of ticket_id</c:v>
                </c:pt>
              </c:strCache>
            </c:strRef>
          </c:tx>
          <c:spPr>
            <a:ln w="28575" cap="rnd">
              <a:solidFill>
                <a:schemeClr val="accent2"/>
              </a:solidFill>
              <a:round/>
            </a:ln>
            <a:effectLst/>
          </c:spPr>
          <c:marker>
            <c:symbol val="none"/>
          </c:marker>
          <c:cat>
            <c:strRef>
              <c:f>Line_chart!$A$4:$A$14</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Line_chart!$C$4:$C$14</c:f>
              <c:numCache>
                <c:formatCode>General</c:formatCode>
                <c:ptCount val="10"/>
                <c:pt idx="0">
                  <c:v>16</c:v>
                </c:pt>
                <c:pt idx="1">
                  <c:v>15</c:v>
                </c:pt>
                <c:pt idx="2">
                  <c:v>17</c:v>
                </c:pt>
                <c:pt idx="3">
                  <c:v>17</c:v>
                </c:pt>
                <c:pt idx="4">
                  <c:v>13</c:v>
                </c:pt>
                <c:pt idx="5">
                  <c:v>8</c:v>
                </c:pt>
                <c:pt idx="6">
                  <c:v>7</c:v>
                </c:pt>
                <c:pt idx="7">
                  <c:v>16</c:v>
                </c:pt>
                <c:pt idx="8">
                  <c:v>27</c:v>
                </c:pt>
                <c:pt idx="9">
                  <c:v>14</c:v>
                </c:pt>
              </c:numCache>
            </c:numRef>
          </c:val>
          <c:smooth val="0"/>
          <c:extLst>
            <c:ext xmlns:c16="http://schemas.microsoft.com/office/drawing/2014/chart" uri="{C3380CC4-5D6E-409C-BE32-E72D297353CC}">
              <c16:uniqueId val="{00000001-D69C-421A-A059-2A86D80E002C}"/>
            </c:ext>
          </c:extLst>
        </c:ser>
        <c:dLbls>
          <c:showLegendKey val="0"/>
          <c:showVal val="0"/>
          <c:showCatName val="0"/>
          <c:showSerName val="0"/>
          <c:showPercent val="0"/>
          <c:showBubbleSize val="0"/>
        </c:dLbls>
        <c:smooth val="0"/>
        <c:axId val="574976432"/>
        <c:axId val="573594336"/>
      </c:lineChart>
      <c:catAx>
        <c:axId val="57497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94336"/>
        <c:crosses val="autoZero"/>
        <c:auto val="1"/>
        <c:lblAlgn val="ctr"/>
        <c:lblOffset val="100"/>
        <c:noMultiLvlLbl val="0"/>
      </c:catAx>
      <c:valAx>
        <c:axId val="57359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97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5.xlsx]pivot table!PivotTable2</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a:solidFill>
              <a:schemeClr val="accent1"/>
            </a:solidFill>
            <a:round/>
          </a:ln>
          <a:effectLst/>
        </c:spPr>
        <c:marker>
          <c:symbol val="circle"/>
          <c:size val="17"/>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705161854767E-2"/>
          <c:y val="0.16564596092155148"/>
          <c:w val="0.67908552055992999"/>
          <c:h val="0.65853091280256637"/>
        </c:manualLayout>
      </c:layout>
      <c:lineChart>
        <c:grouping val="standard"/>
        <c:varyColors val="0"/>
        <c:ser>
          <c:idx val="0"/>
          <c:order val="0"/>
          <c:tx>
            <c:strRef>
              <c:f>'pivot table'!$B$3:$B$4</c:f>
              <c:strCache>
                <c:ptCount val="1"/>
                <c:pt idx="0">
                  <c:v>Monday</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table'!$A$5:$A$9</c:f>
              <c:strCache>
                <c:ptCount val="4"/>
                <c:pt idx="0">
                  <c:v>Jun</c:v>
                </c:pt>
                <c:pt idx="1">
                  <c:v>Jul</c:v>
                </c:pt>
                <c:pt idx="2">
                  <c:v>Aug</c:v>
                </c:pt>
                <c:pt idx="3">
                  <c:v>Sep</c:v>
                </c:pt>
              </c:strCache>
            </c:strRef>
          </c:cat>
          <c:val>
            <c:numRef>
              <c:f>'pivot table'!$B$5:$B$9</c:f>
              <c:numCache>
                <c:formatCode>General</c:formatCode>
                <c:ptCount val="4"/>
                <c:pt idx="0">
                  <c:v>4</c:v>
                </c:pt>
                <c:pt idx="1">
                  <c:v>8</c:v>
                </c:pt>
                <c:pt idx="2">
                  <c:v>4</c:v>
                </c:pt>
                <c:pt idx="3">
                  <c:v>3</c:v>
                </c:pt>
              </c:numCache>
            </c:numRef>
          </c:val>
          <c:smooth val="0"/>
          <c:extLst>
            <c:ext xmlns:c16="http://schemas.microsoft.com/office/drawing/2014/chart" uri="{C3380CC4-5D6E-409C-BE32-E72D297353CC}">
              <c16:uniqueId val="{00000000-E845-414E-815E-FCA6DBABEED7}"/>
            </c:ext>
          </c:extLst>
        </c:ser>
        <c:ser>
          <c:idx val="1"/>
          <c:order val="1"/>
          <c:tx>
            <c:strRef>
              <c:f>'pivot table'!$C$3:$C$4</c:f>
              <c:strCache>
                <c:ptCount val="1"/>
                <c:pt idx="0">
                  <c:v>Tuesday</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table'!$A$5:$A$9</c:f>
              <c:strCache>
                <c:ptCount val="4"/>
                <c:pt idx="0">
                  <c:v>Jun</c:v>
                </c:pt>
                <c:pt idx="1">
                  <c:v>Jul</c:v>
                </c:pt>
                <c:pt idx="2">
                  <c:v>Aug</c:v>
                </c:pt>
                <c:pt idx="3">
                  <c:v>Sep</c:v>
                </c:pt>
              </c:strCache>
            </c:strRef>
          </c:cat>
          <c:val>
            <c:numRef>
              <c:f>'pivot table'!$C$5:$C$9</c:f>
              <c:numCache>
                <c:formatCode>General</c:formatCode>
                <c:ptCount val="4"/>
                <c:pt idx="0">
                  <c:v>5</c:v>
                </c:pt>
                <c:pt idx="1">
                  <c:v>8</c:v>
                </c:pt>
                <c:pt idx="2">
                  <c:v>5</c:v>
                </c:pt>
                <c:pt idx="3">
                  <c:v>4</c:v>
                </c:pt>
              </c:numCache>
            </c:numRef>
          </c:val>
          <c:smooth val="0"/>
          <c:extLst>
            <c:ext xmlns:c16="http://schemas.microsoft.com/office/drawing/2014/chart" uri="{C3380CC4-5D6E-409C-BE32-E72D297353CC}">
              <c16:uniqueId val="{00000001-E845-414E-815E-FCA6DBABEED7}"/>
            </c:ext>
          </c:extLst>
        </c:ser>
        <c:ser>
          <c:idx val="2"/>
          <c:order val="2"/>
          <c:tx>
            <c:strRef>
              <c:f>'pivot table'!$D$3:$D$4</c:f>
              <c:strCache>
                <c:ptCount val="1"/>
                <c:pt idx="0">
                  <c:v>Wednesday</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table'!$A$5:$A$9</c:f>
              <c:strCache>
                <c:ptCount val="4"/>
                <c:pt idx="0">
                  <c:v>Jun</c:v>
                </c:pt>
                <c:pt idx="1">
                  <c:v>Jul</c:v>
                </c:pt>
                <c:pt idx="2">
                  <c:v>Aug</c:v>
                </c:pt>
                <c:pt idx="3">
                  <c:v>Sep</c:v>
                </c:pt>
              </c:strCache>
            </c:strRef>
          </c:cat>
          <c:val>
            <c:numRef>
              <c:f>'pivot table'!$D$5:$D$9</c:f>
              <c:numCache>
                <c:formatCode>General</c:formatCode>
                <c:ptCount val="4"/>
                <c:pt idx="0">
                  <c:v>4</c:v>
                </c:pt>
                <c:pt idx="1">
                  <c:v>7</c:v>
                </c:pt>
                <c:pt idx="2">
                  <c:v>7</c:v>
                </c:pt>
                <c:pt idx="3">
                  <c:v>6</c:v>
                </c:pt>
              </c:numCache>
            </c:numRef>
          </c:val>
          <c:smooth val="0"/>
          <c:extLst>
            <c:ext xmlns:c16="http://schemas.microsoft.com/office/drawing/2014/chart" uri="{C3380CC4-5D6E-409C-BE32-E72D297353CC}">
              <c16:uniqueId val="{00000002-E845-414E-815E-FCA6DBABEED7}"/>
            </c:ext>
          </c:extLst>
        </c:ser>
        <c:ser>
          <c:idx val="3"/>
          <c:order val="3"/>
          <c:tx>
            <c:strRef>
              <c:f>'pivot table'!$E$3:$E$4</c:f>
              <c:strCache>
                <c:ptCount val="1"/>
                <c:pt idx="0">
                  <c:v>Thursday</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table'!$A$5:$A$9</c:f>
              <c:strCache>
                <c:ptCount val="4"/>
                <c:pt idx="0">
                  <c:v>Jun</c:v>
                </c:pt>
                <c:pt idx="1">
                  <c:v>Jul</c:v>
                </c:pt>
                <c:pt idx="2">
                  <c:v>Aug</c:v>
                </c:pt>
                <c:pt idx="3">
                  <c:v>Sep</c:v>
                </c:pt>
              </c:strCache>
            </c:strRef>
          </c:cat>
          <c:val>
            <c:numRef>
              <c:f>'pivot table'!$E$5:$E$9</c:f>
              <c:numCache>
                <c:formatCode>General</c:formatCode>
                <c:ptCount val="4"/>
                <c:pt idx="0">
                  <c:v>3</c:v>
                </c:pt>
                <c:pt idx="1">
                  <c:v>11</c:v>
                </c:pt>
                <c:pt idx="2">
                  <c:v>5</c:v>
                </c:pt>
                <c:pt idx="3">
                  <c:v>4</c:v>
                </c:pt>
              </c:numCache>
            </c:numRef>
          </c:val>
          <c:smooth val="0"/>
          <c:extLst>
            <c:ext xmlns:c16="http://schemas.microsoft.com/office/drawing/2014/chart" uri="{C3380CC4-5D6E-409C-BE32-E72D297353CC}">
              <c16:uniqueId val="{00000003-E845-414E-815E-FCA6DBABEED7}"/>
            </c:ext>
          </c:extLst>
        </c:ser>
        <c:ser>
          <c:idx val="4"/>
          <c:order val="4"/>
          <c:tx>
            <c:strRef>
              <c:f>'pivot table'!$F$3:$F$4</c:f>
              <c:strCache>
                <c:ptCount val="1"/>
                <c:pt idx="0">
                  <c:v>Friday</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table'!$A$5:$A$9</c:f>
              <c:strCache>
                <c:ptCount val="4"/>
                <c:pt idx="0">
                  <c:v>Jun</c:v>
                </c:pt>
                <c:pt idx="1">
                  <c:v>Jul</c:v>
                </c:pt>
                <c:pt idx="2">
                  <c:v>Aug</c:v>
                </c:pt>
                <c:pt idx="3">
                  <c:v>Sep</c:v>
                </c:pt>
              </c:strCache>
            </c:strRef>
          </c:cat>
          <c:val>
            <c:numRef>
              <c:f>'pivot table'!$F$5:$F$9</c:f>
              <c:numCache>
                <c:formatCode>General</c:formatCode>
                <c:ptCount val="4"/>
                <c:pt idx="0">
                  <c:v>4</c:v>
                </c:pt>
                <c:pt idx="1">
                  <c:v>5</c:v>
                </c:pt>
                <c:pt idx="2">
                  <c:v>5</c:v>
                </c:pt>
                <c:pt idx="3">
                  <c:v>2</c:v>
                </c:pt>
              </c:numCache>
            </c:numRef>
          </c:val>
          <c:smooth val="0"/>
          <c:extLst>
            <c:ext xmlns:c16="http://schemas.microsoft.com/office/drawing/2014/chart" uri="{C3380CC4-5D6E-409C-BE32-E72D297353CC}">
              <c16:uniqueId val="{00000004-E845-414E-815E-FCA6DBABEED7}"/>
            </c:ext>
          </c:extLst>
        </c:ser>
        <c:ser>
          <c:idx val="5"/>
          <c:order val="5"/>
          <c:tx>
            <c:strRef>
              <c:f>'pivot table'!$G$3:$G$4</c:f>
              <c:strCache>
                <c:ptCount val="1"/>
                <c:pt idx="0">
                  <c:v>Saturday</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table'!$A$5:$A$9</c:f>
              <c:strCache>
                <c:ptCount val="4"/>
                <c:pt idx="0">
                  <c:v>Jun</c:v>
                </c:pt>
                <c:pt idx="1">
                  <c:v>Jul</c:v>
                </c:pt>
                <c:pt idx="2">
                  <c:v>Aug</c:v>
                </c:pt>
                <c:pt idx="3">
                  <c:v>Sep</c:v>
                </c:pt>
              </c:strCache>
            </c:strRef>
          </c:cat>
          <c:val>
            <c:numRef>
              <c:f>'pivot table'!$G$5:$G$9</c:f>
              <c:numCache>
                <c:formatCode>General</c:formatCode>
                <c:ptCount val="4"/>
                <c:pt idx="0">
                  <c:v>2</c:v>
                </c:pt>
                <c:pt idx="1">
                  <c:v>7</c:v>
                </c:pt>
                <c:pt idx="2">
                  <c:v>7</c:v>
                </c:pt>
                <c:pt idx="3">
                  <c:v>4</c:v>
                </c:pt>
              </c:numCache>
            </c:numRef>
          </c:val>
          <c:smooth val="0"/>
          <c:extLst>
            <c:ext xmlns:c16="http://schemas.microsoft.com/office/drawing/2014/chart" uri="{C3380CC4-5D6E-409C-BE32-E72D297353CC}">
              <c16:uniqueId val="{00000005-E845-414E-815E-FCA6DBABEED7}"/>
            </c:ext>
          </c:extLst>
        </c:ser>
        <c:ser>
          <c:idx val="6"/>
          <c:order val="6"/>
          <c:tx>
            <c:strRef>
              <c:f>'pivot table'!$H$3:$H$4</c:f>
              <c:strCache>
                <c:ptCount val="1"/>
                <c:pt idx="0">
                  <c:v>Sunday</c:v>
                </c:pt>
              </c:strCache>
            </c:strRef>
          </c:tx>
          <c:spPr>
            <a:ln w="31750" cap="rnd">
              <a:solidFill>
                <a:schemeClr val="accent1">
                  <a:lumMod val="60000"/>
                </a:schemeClr>
              </a:solidFill>
              <a:round/>
            </a:ln>
            <a:effectLst/>
          </c:spPr>
          <c:marker>
            <c:symbol val="circle"/>
            <c:size val="17"/>
            <c:spPr>
              <a:solidFill>
                <a:schemeClr val="accent1">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table'!$A$5:$A$9</c:f>
              <c:strCache>
                <c:ptCount val="4"/>
                <c:pt idx="0">
                  <c:v>Jun</c:v>
                </c:pt>
                <c:pt idx="1">
                  <c:v>Jul</c:v>
                </c:pt>
                <c:pt idx="2">
                  <c:v>Aug</c:v>
                </c:pt>
                <c:pt idx="3">
                  <c:v>Sep</c:v>
                </c:pt>
              </c:strCache>
            </c:strRef>
          </c:cat>
          <c:val>
            <c:numRef>
              <c:f>'pivot table'!$H$5:$H$9</c:f>
              <c:numCache>
                <c:formatCode>General</c:formatCode>
                <c:ptCount val="4"/>
                <c:pt idx="0">
                  <c:v>5</c:v>
                </c:pt>
                <c:pt idx="1">
                  <c:v>5</c:v>
                </c:pt>
                <c:pt idx="2">
                  <c:v>12</c:v>
                </c:pt>
                <c:pt idx="3">
                  <c:v>4</c:v>
                </c:pt>
              </c:numCache>
            </c:numRef>
          </c:val>
          <c:smooth val="0"/>
          <c:extLst>
            <c:ext xmlns:c16="http://schemas.microsoft.com/office/drawing/2014/chart" uri="{C3380CC4-5D6E-409C-BE32-E72D297353CC}">
              <c16:uniqueId val="{00000006-E845-414E-815E-FCA6DBABEED7}"/>
            </c:ext>
          </c:extLst>
        </c:ser>
        <c:dLbls>
          <c:dLblPos val="ctr"/>
          <c:showLegendKey val="0"/>
          <c:showVal val="1"/>
          <c:showCatName val="0"/>
          <c:showSerName val="0"/>
          <c:showPercent val="0"/>
          <c:showBubbleSize val="0"/>
        </c:dLbls>
        <c:marker val="1"/>
        <c:smooth val="0"/>
        <c:axId val="2649567"/>
        <c:axId val="2067841103"/>
      </c:lineChart>
      <c:catAx>
        <c:axId val="2649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7841103"/>
        <c:crosses val="autoZero"/>
        <c:auto val="1"/>
        <c:lblAlgn val="ctr"/>
        <c:lblOffset val="100"/>
        <c:noMultiLvlLbl val="0"/>
      </c:catAx>
      <c:valAx>
        <c:axId val="20678411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6495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5.xlsx]pie chart!PivotTable3</c:name>
    <c:fmtId val="2"/>
  </c:pivotSource>
  <c:chart>
    <c:title>
      <c:layout>
        <c:manualLayout>
          <c:xMode val="edge"/>
          <c:yMode val="edge"/>
          <c:x val="0.4480555555555556"/>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3"/>
          </a:solidFill>
          <a:ln>
            <a:noFill/>
          </a:ln>
          <a:effectLst>
            <a:outerShdw blurRad="254000" sx="102000" sy="102000" algn="ctr" rotWithShape="0">
              <a:prstClr val="black">
                <a:alpha val="20000"/>
              </a:prstClr>
            </a:outerShdw>
          </a:effectLst>
        </c:spPr>
      </c:pivotFmt>
      <c:pivotFmt>
        <c:idx val="20"/>
        <c:spPr>
          <a:solidFill>
            <a:schemeClr val="accent4"/>
          </a:solidFill>
          <a:ln>
            <a:noFill/>
          </a:ln>
          <a:effectLst>
            <a:outerShdw blurRad="254000" sx="102000" sy="102000" algn="ctr" rotWithShape="0">
              <a:prstClr val="black">
                <a:alpha val="20000"/>
              </a:prstClr>
            </a:outerShdw>
          </a:effectLst>
        </c:spPr>
      </c:pivotFmt>
      <c:pivotFmt>
        <c:idx val="21"/>
        <c:spPr>
          <a:solidFill>
            <a:schemeClr val="accent5"/>
          </a:solidFill>
          <a:ln>
            <a:noFill/>
          </a:ln>
          <a:effectLst>
            <a:outerShdw blurRad="254000" sx="102000" sy="102000" algn="ctr" rotWithShape="0">
              <a:prstClr val="black">
                <a:alpha val="20000"/>
              </a:prstClr>
            </a:outerShdw>
          </a:effectLst>
        </c:spPr>
      </c:pivotFmt>
      <c:pivotFmt>
        <c:idx val="22"/>
        <c:spPr>
          <a:solidFill>
            <a:schemeClr val="accent6"/>
          </a:solidFill>
          <a:ln>
            <a:noFill/>
          </a:ln>
          <a:effectLst>
            <a:outerShdw blurRad="254000" sx="102000" sy="102000" algn="ctr" rotWithShape="0">
              <a:prstClr val="black">
                <a:alpha val="20000"/>
              </a:prstClr>
            </a:outerShdw>
          </a:effectLst>
        </c:spPr>
      </c:pivotFmt>
      <c:pivotFmt>
        <c:idx val="23"/>
        <c:spPr>
          <a:solidFill>
            <a:schemeClr val="accent1">
              <a:lumMod val="60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1D-4DA2-98B1-062D6F4A985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1D-4DA2-98B1-062D6F4A985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1D-4DA2-98B1-062D6F4A985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71D-4DA2-98B1-062D6F4A985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71D-4DA2-98B1-062D6F4A985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71D-4DA2-98B1-062D6F4A985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71D-4DA2-98B1-062D6F4A985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chart'!$A$4:$A$11</c:f>
              <c:strCache>
                <c:ptCount val="7"/>
                <c:pt idx="0">
                  <c:v>Access</c:v>
                </c:pt>
                <c:pt idx="1">
                  <c:v>Billing</c:v>
                </c:pt>
                <c:pt idx="2">
                  <c:v>Hardware</c:v>
                </c:pt>
                <c:pt idx="3">
                  <c:v>Network</c:v>
                </c:pt>
                <c:pt idx="4">
                  <c:v>Other</c:v>
                </c:pt>
                <c:pt idx="5">
                  <c:v>Security</c:v>
                </c:pt>
                <c:pt idx="6">
                  <c:v>Software</c:v>
                </c:pt>
              </c:strCache>
            </c:strRef>
          </c:cat>
          <c:val>
            <c:numRef>
              <c:f>'pie chart'!$B$4:$B$11</c:f>
              <c:numCache>
                <c:formatCode>General</c:formatCode>
                <c:ptCount val="7"/>
                <c:pt idx="0">
                  <c:v>1.8494494513889852</c:v>
                </c:pt>
                <c:pt idx="1">
                  <c:v>2.6090075761961393</c:v>
                </c:pt>
                <c:pt idx="2">
                  <c:v>1.7765258376736408</c:v>
                </c:pt>
                <c:pt idx="3">
                  <c:v>2.0881026766301543</c:v>
                </c:pt>
                <c:pt idx="4">
                  <c:v>2.1476218975048038</c:v>
                </c:pt>
                <c:pt idx="5">
                  <c:v>4.0760051223561664</c:v>
                </c:pt>
                <c:pt idx="6">
                  <c:v>2.2784664170290387</c:v>
                </c:pt>
              </c:numCache>
            </c:numRef>
          </c:val>
          <c:extLst>
            <c:ext xmlns:c16="http://schemas.microsoft.com/office/drawing/2014/chart" uri="{C3380CC4-5D6E-409C-BE32-E72D297353CC}">
              <c16:uniqueId val="{0000000E-471D-4DA2-98B1-062D6F4A985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5.xlsx]Line_chart!PivotTable1</c:name>
    <c:fmtId val="2"/>
  </c:pivotSource>
  <c:chart>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Line_chart!$B$3</c:f>
              <c:strCache>
                <c:ptCount val="1"/>
                <c:pt idx="0">
                  <c:v>Average of Resolution_time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Line_chart!$A$4:$A$14</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Line_chart!$B$4:$B$14</c:f>
              <c:numCache>
                <c:formatCode>General</c:formatCode>
                <c:ptCount val="10"/>
                <c:pt idx="0">
                  <c:v>1.9329147460935019</c:v>
                </c:pt>
                <c:pt idx="1">
                  <c:v>3.426067872684992</c:v>
                </c:pt>
                <c:pt idx="2">
                  <c:v>3.0254332591229125</c:v>
                </c:pt>
                <c:pt idx="3">
                  <c:v>2.0922771881806135</c:v>
                </c:pt>
                <c:pt idx="4">
                  <c:v>1.4739726513524567</c:v>
                </c:pt>
                <c:pt idx="5">
                  <c:v>2.6847206524880676</c:v>
                </c:pt>
                <c:pt idx="6">
                  <c:v>1.3939112979496713</c:v>
                </c:pt>
                <c:pt idx="7">
                  <c:v>2.7851482486976238</c:v>
                </c:pt>
                <c:pt idx="8">
                  <c:v>1.9601070421814695</c:v>
                </c:pt>
                <c:pt idx="9">
                  <c:v>1.1359320791988077</c:v>
                </c:pt>
              </c:numCache>
            </c:numRef>
          </c:val>
          <c:smooth val="0"/>
          <c:extLst>
            <c:ext xmlns:c16="http://schemas.microsoft.com/office/drawing/2014/chart" uri="{C3380CC4-5D6E-409C-BE32-E72D297353CC}">
              <c16:uniqueId val="{00000000-821A-4A4B-8FA5-2206AB96A18F}"/>
            </c:ext>
          </c:extLst>
        </c:ser>
        <c:ser>
          <c:idx val="1"/>
          <c:order val="1"/>
          <c:tx>
            <c:strRef>
              <c:f>Line_chart!$C$3</c:f>
              <c:strCache>
                <c:ptCount val="1"/>
                <c:pt idx="0">
                  <c:v>Count of ticket_id</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Line_chart!$A$4:$A$14</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Line_chart!$C$4:$C$14</c:f>
              <c:numCache>
                <c:formatCode>General</c:formatCode>
                <c:ptCount val="10"/>
                <c:pt idx="0">
                  <c:v>16</c:v>
                </c:pt>
                <c:pt idx="1">
                  <c:v>15</c:v>
                </c:pt>
                <c:pt idx="2">
                  <c:v>17</c:v>
                </c:pt>
                <c:pt idx="3">
                  <c:v>17</c:v>
                </c:pt>
                <c:pt idx="4">
                  <c:v>13</c:v>
                </c:pt>
                <c:pt idx="5">
                  <c:v>8</c:v>
                </c:pt>
                <c:pt idx="6">
                  <c:v>7</c:v>
                </c:pt>
                <c:pt idx="7">
                  <c:v>16</c:v>
                </c:pt>
                <c:pt idx="8">
                  <c:v>27</c:v>
                </c:pt>
                <c:pt idx="9">
                  <c:v>14</c:v>
                </c:pt>
              </c:numCache>
            </c:numRef>
          </c:val>
          <c:smooth val="0"/>
          <c:extLst>
            <c:ext xmlns:c16="http://schemas.microsoft.com/office/drawing/2014/chart" uri="{C3380CC4-5D6E-409C-BE32-E72D297353CC}">
              <c16:uniqueId val="{00000001-821A-4A4B-8FA5-2206AB96A18F}"/>
            </c:ext>
          </c:extLst>
        </c:ser>
        <c:dLbls>
          <c:dLblPos val="ctr"/>
          <c:showLegendKey val="0"/>
          <c:showVal val="1"/>
          <c:showCatName val="0"/>
          <c:showSerName val="0"/>
          <c:showPercent val="0"/>
          <c:showBubbleSize val="0"/>
        </c:dLbls>
        <c:marker val="1"/>
        <c:smooth val="0"/>
        <c:axId val="574976432"/>
        <c:axId val="573594336"/>
      </c:lineChart>
      <c:catAx>
        <c:axId val="5749764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3594336"/>
        <c:crosses val="autoZero"/>
        <c:auto val="1"/>
        <c:lblAlgn val="ctr"/>
        <c:lblOffset val="100"/>
        <c:noMultiLvlLbl val="0"/>
      </c:catAx>
      <c:valAx>
        <c:axId val="5735943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49764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873125</xdr:colOff>
      <xdr:row>9</xdr:row>
      <xdr:rowOff>107950</xdr:rowOff>
    </xdr:from>
    <xdr:to>
      <xdr:col>9</xdr:col>
      <xdr:colOff>276225</xdr:colOff>
      <xdr:row>24</xdr:row>
      <xdr:rowOff>88900</xdr:rowOff>
    </xdr:to>
    <xdr:graphicFrame macro="">
      <xdr:nvGraphicFramePr>
        <xdr:cNvPr id="2" name="Chart 1">
          <a:extLst>
            <a:ext uri="{FF2B5EF4-FFF2-40B4-BE49-F238E27FC236}">
              <a16:creationId xmlns:a16="http://schemas.microsoft.com/office/drawing/2014/main" id="{FA541DAA-BCD6-47EB-A73E-3C9409EB0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257175</xdr:colOff>
      <xdr:row>2</xdr:row>
      <xdr:rowOff>0</xdr:rowOff>
    </xdr:from>
    <xdr:to>
      <xdr:col>9</xdr:col>
      <xdr:colOff>561975</xdr:colOff>
      <xdr:row>16</xdr:row>
      <xdr:rowOff>165100</xdr:rowOff>
    </xdr:to>
    <xdr:graphicFrame macro="">
      <xdr:nvGraphicFramePr>
        <xdr:cNvPr id="2" name="Chart 1">
          <a:extLst>
            <a:ext uri="{FF2B5EF4-FFF2-40B4-BE49-F238E27FC236}">
              <a16:creationId xmlns:a16="http://schemas.microsoft.com/office/drawing/2014/main" id="{9282E4CE-A18F-4561-B5A2-36BF668DF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314325</xdr:colOff>
      <xdr:row>1</xdr:row>
      <xdr:rowOff>158750</xdr:rowOff>
    </xdr:from>
    <xdr:to>
      <xdr:col>11</xdr:col>
      <xdr:colOff>9525</xdr:colOff>
      <xdr:row>16</xdr:row>
      <xdr:rowOff>139700</xdr:rowOff>
    </xdr:to>
    <xdr:graphicFrame macro="">
      <xdr:nvGraphicFramePr>
        <xdr:cNvPr id="2" name="Chart 1">
          <a:extLst>
            <a:ext uri="{FF2B5EF4-FFF2-40B4-BE49-F238E27FC236}">
              <a16:creationId xmlns:a16="http://schemas.microsoft.com/office/drawing/2014/main" id="{F26BE403-83E9-43FA-8A0B-F5E0C27AF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206375</xdr:colOff>
      <xdr:row>2</xdr:row>
      <xdr:rowOff>0</xdr:rowOff>
    </xdr:from>
    <xdr:to>
      <xdr:col>10</xdr:col>
      <xdr:colOff>511175</xdr:colOff>
      <xdr:row>16</xdr:row>
      <xdr:rowOff>165100</xdr:rowOff>
    </xdr:to>
    <xdr:graphicFrame macro="">
      <xdr:nvGraphicFramePr>
        <xdr:cNvPr id="2" name="Chart 1">
          <a:extLst>
            <a:ext uri="{FF2B5EF4-FFF2-40B4-BE49-F238E27FC236}">
              <a16:creationId xmlns:a16="http://schemas.microsoft.com/office/drawing/2014/main" id="{68A611A7-4249-4B3E-ACC0-DA47C26CA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25400</xdr:colOff>
      <xdr:row>5</xdr:row>
      <xdr:rowOff>95250</xdr:rowOff>
    </xdr:to>
    <xdr:sp macro="" textlink="">
      <xdr:nvSpPr>
        <xdr:cNvPr id="2" name="Rectangle 1">
          <a:extLst>
            <a:ext uri="{FF2B5EF4-FFF2-40B4-BE49-F238E27FC236}">
              <a16:creationId xmlns:a16="http://schemas.microsoft.com/office/drawing/2014/main" id="{7BC03E95-9D71-4895-B03C-C15AB2F79026}"/>
            </a:ext>
          </a:extLst>
        </xdr:cNvPr>
        <xdr:cNvSpPr/>
      </xdr:nvSpPr>
      <xdr:spPr>
        <a:xfrm>
          <a:off x="0" y="0"/>
          <a:ext cx="11607800" cy="10160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chemeClr val="tx1"/>
              </a:solidFill>
              <a:latin typeface="Arial Black" panose="020B0A04020102020204" pitchFamily="34" charset="0"/>
            </a:rPr>
            <a:t>      </a:t>
          </a:r>
          <a:r>
            <a:rPr lang="en-IN" sz="3600">
              <a:solidFill>
                <a:schemeClr val="tx1"/>
              </a:solidFill>
              <a:latin typeface="Arial Black" panose="020B0A04020102020204" pitchFamily="34" charset="0"/>
            </a:rPr>
            <a:t>IT Help Desk</a:t>
          </a:r>
          <a:r>
            <a:rPr lang="en-IN" sz="3600" baseline="0">
              <a:solidFill>
                <a:schemeClr val="tx1"/>
              </a:solidFill>
              <a:latin typeface="Arial Black" panose="020B0A04020102020204" pitchFamily="34" charset="0"/>
            </a:rPr>
            <a:t> Performance Dashboard</a:t>
          </a:r>
          <a:endParaRPr lang="en-IN" sz="3600">
            <a:solidFill>
              <a:schemeClr val="tx1"/>
            </a:solidFill>
            <a:latin typeface="Arial Black" panose="020B0A04020102020204" pitchFamily="34" charset="0"/>
          </a:endParaRPr>
        </a:p>
      </xdr:txBody>
    </xdr:sp>
    <xdr:clientData/>
  </xdr:twoCellAnchor>
  <xdr:twoCellAnchor>
    <xdr:from>
      <xdr:col>0</xdr:col>
      <xdr:colOff>0</xdr:colOff>
      <xdr:row>5</xdr:row>
      <xdr:rowOff>107950</xdr:rowOff>
    </xdr:from>
    <xdr:to>
      <xdr:col>2</xdr:col>
      <xdr:colOff>196850</xdr:colOff>
      <xdr:row>34</xdr:row>
      <xdr:rowOff>0</xdr:rowOff>
    </xdr:to>
    <xdr:sp macro="" textlink="">
      <xdr:nvSpPr>
        <xdr:cNvPr id="3" name="Rectangle 2">
          <a:extLst>
            <a:ext uri="{FF2B5EF4-FFF2-40B4-BE49-F238E27FC236}">
              <a16:creationId xmlns:a16="http://schemas.microsoft.com/office/drawing/2014/main" id="{DD241758-F329-4F0B-BC7A-7E9121C5AE68}"/>
            </a:ext>
          </a:extLst>
        </xdr:cNvPr>
        <xdr:cNvSpPr/>
      </xdr:nvSpPr>
      <xdr:spPr>
        <a:xfrm>
          <a:off x="0" y="1028700"/>
          <a:ext cx="1416050" cy="523240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203200</xdr:colOff>
      <xdr:row>5</xdr:row>
      <xdr:rowOff>107950</xdr:rowOff>
    </xdr:from>
    <xdr:to>
      <xdr:col>19</xdr:col>
      <xdr:colOff>25400</xdr:colOff>
      <xdr:row>34</xdr:row>
      <xdr:rowOff>0</xdr:rowOff>
    </xdr:to>
    <xdr:sp macro="" textlink="">
      <xdr:nvSpPr>
        <xdr:cNvPr id="4" name="Rectangle 3">
          <a:extLst>
            <a:ext uri="{FF2B5EF4-FFF2-40B4-BE49-F238E27FC236}">
              <a16:creationId xmlns:a16="http://schemas.microsoft.com/office/drawing/2014/main" id="{E92765C8-971F-49DF-999E-1A96F174C7FE}"/>
            </a:ext>
          </a:extLst>
        </xdr:cNvPr>
        <xdr:cNvSpPr/>
      </xdr:nvSpPr>
      <xdr:spPr>
        <a:xfrm>
          <a:off x="1422400" y="1028700"/>
          <a:ext cx="10185400" cy="5232400"/>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514350</xdr:colOff>
      <xdr:row>5</xdr:row>
      <xdr:rowOff>165100</xdr:rowOff>
    </xdr:from>
    <xdr:to>
      <xdr:col>10</xdr:col>
      <xdr:colOff>209550</xdr:colOff>
      <xdr:row>20</xdr:row>
      <xdr:rowOff>146050</xdr:rowOff>
    </xdr:to>
    <xdr:graphicFrame macro="">
      <xdr:nvGraphicFramePr>
        <xdr:cNvPr id="5" name="Chart 4">
          <a:extLst>
            <a:ext uri="{FF2B5EF4-FFF2-40B4-BE49-F238E27FC236}">
              <a16:creationId xmlns:a16="http://schemas.microsoft.com/office/drawing/2014/main" id="{E3736FBF-0D5C-476C-86D4-3068A2B9E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361950</xdr:colOff>
      <xdr:row>5</xdr:row>
      <xdr:rowOff>165100</xdr:rowOff>
    </xdr:from>
    <xdr:to>
      <xdr:col>18</xdr:col>
      <xdr:colOff>57150</xdr:colOff>
      <xdr:row>20</xdr:row>
      <xdr:rowOff>146050</xdr:rowOff>
    </xdr:to>
    <xdr:graphicFrame macro="">
      <xdr:nvGraphicFramePr>
        <xdr:cNvPr id="6" name="Chart 5">
          <a:extLst>
            <a:ext uri="{FF2B5EF4-FFF2-40B4-BE49-F238E27FC236}">
              <a16:creationId xmlns:a16="http://schemas.microsoft.com/office/drawing/2014/main" id="{5D79EF65-C2E7-4F5F-AED6-E88818FF8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508000</xdr:colOff>
      <xdr:row>21</xdr:row>
      <xdr:rowOff>6350</xdr:rowOff>
    </xdr:from>
    <xdr:to>
      <xdr:col>18</xdr:col>
      <xdr:colOff>57150</xdr:colOff>
      <xdr:row>33</xdr:row>
      <xdr:rowOff>69850</xdr:rowOff>
    </xdr:to>
    <xdr:graphicFrame macro="">
      <xdr:nvGraphicFramePr>
        <xdr:cNvPr id="7" name="Chart 6">
          <a:extLst>
            <a:ext uri="{FF2B5EF4-FFF2-40B4-BE49-F238E27FC236}">
              <a16:creationId xmlns:a16="http://schemas.microsoft.com/office/drawing/2014/main" id="{A90D7E20-E9AD-4F67-AF9F-AEE90B79B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88900</xdr:colOff>
      <xdr:row>5</xdr:row>
      <xdr:rowOff>158750</xdr:rowOff>
    </xdr:from>
    <xdr:to>
      <xdr:col>1</xdr:col>
      <xdr:colOff>596900</xdr:colOff>
      <xdr:row>21</xdr:row>
      <xdr:rowOff>63500</xdr:rowOff>
    </xdr:to>
    <mc:AlternateContent xmlns:mc="http://schemas.openxmlformats.org/markup-compatibility/2006">
      <mc:Choice xmlns:sle15="http://schemas.microsoft.com/office/drawing/2012/slicer" Requires="sle15">
        <xdr:graphicFrame macro="">
          <xdr:nvGraphicFramePr>
            <xdr:cNvPr id="8" name="ticket_id">
              <a:extLst>
                <a:ext uri="{FF2B5EF4-FFF2-40B4-BE49-F238E27FC236}">
                  <a16:creationId xmlns:a16="http://schemas.microsoft.com/office/drawing/2014/main" id="{728A5378-B0ED-42EE-BDAF-F6C5FEC62B11}"/>
                </a:ext>
              </a:extLst>
            </xdr:cNvPr>
            <xdr:cNvGraphicFramePr/>
          </xdr:nvGraphicFramePr>
          <xdr:xfrm>
            <a:off x="0" y="0"/>
            <a:ext cx="0" cy="0"/>
          </xdr:xfrm>
          <a:graphic>
            <a:graphicData uri="http://schemas.microsoft.com/office/drawing/2010/slicer">
              <sle:slicer xmlns:sle="http://schemas.microsoft.com/office/drawing/2010/slicer" name="ticket_id"/>
            </a:graphicData>
          </a:graphic>
        </xdr:graphicFrame>
      </mc:Choice>
      <mc:Fallback>
        <xdr:sp macro="" textlink="">
          <xdr:nvSpPr>
            <xdr:cNvPr id="0" name=""/>
            <xdr:cNvSpPr>
              <a:spLocks noTextEdit="1"/>
            </xdr:cNvSpPr>
          </xdr:nvSpPr>
          <xdr:spPr>
            <a:xfrm>
              <a:off x="88900" y="1079500"/>
              <a:ext cx="1117600" cy="28511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88900</xdr:colOff>
      <xdr:row>21</xdr:row>
      <xdr:rowOff>95250</xdr:rowOff>
    </xdr:from>
    <xdr:to>
      <xdr:col>1</xdr:col>
      <xdr:colOff>603250</xdr:colOff>
      <xdr:row>33</xdr:row>
      <xdr:rowOff>165100</xdr:rowOff>
    </xdr:to>
    <mc:AlternateContent xmlns:mc="http://schemas.openxmlformats.org/markup-compatibility/2006">
      <mc:Choice xmlns:sle15="http://schemas.microsoft.com/office/drawing/2012/slicer" Requires="sle15">
        <xdr:graphicFrame macro="">
          <xdr:nvGraphicFramePr>
            <xdr:cNvPr id="9" name="category">
              <a:extLst>
                <a:ext uri="{FF2B5EF4-FFF2-40B4-BE49-F238E27FC236}">
                  <a16:creationId xmlns:a16="http://schemas.microsoft.com/office/drawing/2014/main" id="{A168DB37-1C54-4517-A881-5CB99D80EE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900" y="3962400"/>
              <a:ext cx="1123950" cy="22796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76200</xdr:colOff>
      <xdr:row>0</xdr:row>
      <xdr:rowOff>76200</xdr:rowOff>
    </xdr:from>
    <xdr:to>
      <xdr:col>14</xdr:col>
      <xdr:colOff>603250</xdr:colOff>
      <xdr:row>4</xdr:row>
      <xdr:rowOff>152400</xdr:rowOff>
    </xdr:to>
    <xdr:sp macro="" textlink="">
      <xdr:nvSpPr>
        <xdr:cNvPr id="2" name="Rectangle 1">
          <a:extLst>
            <a:ext uri="{FF2B5EF4-FFF2-40B4-BE49-F238E27FC236}">
              <a16:creationId xmlns:a16="http://schemas.microsoft.com/office/drawing/2014/main" id="{BC807318-88CE-420A-96F7-D1016A980086}"/>
            </a:ext>
          </a:extLst>
        </xdr:cNvPr>
        <xdr:cNvSpPr/>
      </xdr:nvSpPr>
      <xdr:spPr>
        <a:xfrm>
          <a:off x="76200" y="76200"/>
          <a:ext cx="9061450" cy="812800"/>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a:solidFill>
                <a:srgbClr val="002060"/>
              </a:solidFill>
              <a:latin typeface="Bodoni MT Black" panose="02070A03080606020203" pitchFamily="18" charset="0"/>
            </a:rPr>
            <a:t>Insights</a:t>
          </a:r>
        </a:p>
      </xdr:txBody>
    </xdr:sp>
    <xdr:clientData/>
  </xdr:twoCellAnchor>
  <xdr:twoCellAnchor>
    <xdr:from>
      <xdr:col>0</xdr:col>
      <xdr:colOff>82550</xdr:colOff>
      <xdr:row>5</xdr:row>
      <xdr:rowOff>57150</xdr:rowOff>
    </xdr:from>
    <xdr:to>
      <xdr:col>14</xdr:col>
      <xdr:colOff>596900</xdr:colOff>
      <xdr:row>18</xdr:row>
      <xdr:rowOff>0</xdr:rowOff>
    </xdr:to>
    <xdr:sp macro="" textlink="">
      <xdr:nvSpPr>
        <xdr:cNvPr id="3" name="Rectangle: Diagonal Corners Rounded 2">
          <a:extLst>
            <a:ext uri="{FF2B5EF4-FFF2-40B4-BE49-F238E27FC236}">
              <a16:creationId xmlns:a16="http://schemas.microsoft.com/office/drawing/2014/main" id="{8DD5EAF8-A1B1-4730-B309-6A5005AE26A6}"/>
            </a:ext>
          </a:extLst>
        </xdr:cNvPr>
        <xdr:cNvSpPr/>
      </xdr:nvSpPr>
      <xdr:spPr>
        <a:xfrm>
          <a:off x="82550" y="977900"/>
          <a:ext cx="9048750" cy="2336800"/>
        </a:xfrm>
        <a:prstGeom prst="round2Diag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tx1"/>
              </a:solidFill>
            </a:rPr>
            <a:t>Software issues appear very frequently software category</a:t>
          </a:r>
          <a:r>
            <a:rPr lang="en-IN" sz="1800" baseline="0">
              <a:solidFill>
                <a:schemeClr val="tx1"/>
              </a:solidFill>
            </a:rPr>
            <a:t> is the top driver of tickets</a:t>
          </a:r>
        </a:p>
        <a:p>
          <a:pPr algn="l"/>
          <a:endParaRPr lang="en-IN" sz="1800" baseline="0">
            <a:solidFill>
              <a:schemeClr val="tx1"/>
            </a:solidFill>
          </a:endParaRPr>
        </a:p>
        <a:p>
          <a:pPr algn="l"/>
          <a:r>
            <a:rPr lang="en-IN" sz="1800" baseline="0">
              <a:solidFill>
                <a:schemeClr val="tx1"/>
              </a:solidFill>
            </a:rPr>
            <a:t>Common Problem Pattern Application X is crashing every time I open it</a:t>
          </a:r>
        </a:p>
        <a:p>
          <a:pPr algn="l"/>
          <a:endParaRPr lang="en-IN" sz="1800" baseline="0">
            <a:solidFill>
              <a:schemeClr val="tx1"/>
            </a:solidFill>
          </a:endParaRPr>
        </a:p>
        <a:p>
          <a:pPr algn="l"/>
          <a:r>
            <a:rPr lang="en-IN" sz="1800" baseline="0">
              <a:solidFill>
                <a:schemeClr val="tx1"/>
              </a:solidFill>
            </a:rPr>
            <a:t>Support team is handling more routine issues than urgent ones</a:t>
          </a:r>
        </a:p>
        <a:p>
          <a:pPr algn="l"/>
          <a:endParaRPr lang="en-IN" sz="1800" baseline="0">
            <a:solidFill>
              <a:schemeClr val="tx1"/>
            </a:solidFill>
          </a:endParaRPr>
        </a:p>
        <a:p>
          <a:pPr algn="l"/>
          <a:r>
            <a:rPr lang="en-IN" sz="1800" baseline="0">
              <a:solidFill>
                <a:schemeClr val="tx1"/>
              </a:solidFill>
            </a:rPr>
            <a:t>Allocate more staff at peak days</a:t>
          </a:r>
          <a:endParaRPr lang="en-IN" sz="1800">
            <a:solidFill>
              <a:schemeClr val="tx1"/>
            </a:solidFill>
          </a:endParaRPr>
        </a:p>
        <a:p>
          <a:pPr algn="l"/>
          <a:endParaRPr lang="en-IN" sz="1800">
            <a:solidFill>
              <a:schemeClr val="tx1"/>
            </a:solidFill>
          </a:endParaRPr>
        </a:p>
        <a:p>
          <a:pPr algn="l"/>
          <a:endParaRPr lang="en-IN"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1.702752893521" createdVersion="6" refreshedVersion="6" minRefreshableVersion="3" recordCount="150" xr:uid="{F23338CC-7C7C-4A54-9EBB-96BC32151D3A}">
  <cacheSource type="worksheet">
    <worksheetSource name="Table2_2"/>
  </cacheSource>
  <cacheFields count="11">
    <cacheField name="ticket_id" numFmtId="0">
      <sharedItems count="150">
        <s v="TICKET-1000"/>
        <s v="TICKET-1001"/>
        <s v="TICKET-1002"/>
        <s v="TICKET-1003"/>
        <s v="TICKET-1004"/>
        <s v="TICKET-1005"/>
        <s v="TICKET-1006"/>
        <s v="TICKET-1007"/>
        <s v="TICKET-1008"/>
        <s v="TICKET-1009"/>
        <s v="TICKET-1010"/>
        <s v="TICKET-1011"/>
        <s v="TICKET-1012"/>
        <s v="TICKET-1013"/>
        <s v="TICKET-1014"/>
        <s v="TICKET-1015"/>
        <s v="TICKET-1016"/>
        <s v="TICKET-1017"/>
        <s v="TICKET-1018"/>
        <s v="TICKET-1019"/>
        <s v="TICKET-1020"/>
        <s v="TICKET-1021"/>
        <s v="TICKET-1022"/>
        <s v="TICKET-1023"/>
        <s v="TICKET-1024"/>
        <s v="TICKET-1025"/>
        <s v="TICKET-1026"/>
        <s v="TICKET-1027"/>
        <s v="TICKET-1028"/>
        <s v="TICKET-1029"/>
        <s v="TICKET-1030"/>
        <s v="TICKET-1031"/>
        <s v="TICKET-1032"/>
        <s v="TICKET-1033"/>
        <s v="TICKET-1034"/>
        <s v="TICKET-1035"/>
        <s v="TICKET-1036"/>
        <s v="TICKET-1037"/>
        <s v="TICKET-1038"/>
        <s v="TICKET-1039"/>
        <s v="TICKET-1040"/>
        <s v="TICKET-1041"/>
        <s v="TICKET-1042"/>
        <s v="TICKET-1043"/>
        <s v="TICKET-1044"/>
        <s v="TICKET-1045"/>
        <s v="TICKET-1046"/>
        <s v="TICKET-1047"/>
        <s v="TICKET-1048"/>
        <s v="TICKET-1049"/>
        <s v="TICKET-1050"/>
        <s v="TICKET-1051"/>
        <s v="TICKET-1052"/>
        <s v="TICKET-1053"/>
        <s v="TICKET-1054"/>
        <s v="TICKET-1055"/>
        <s v="TICKET-1056"/>
        <s v="TICKET-1057"/>
        <s v="TICKET-1058"/>
        <s v="TICKET-1059"/>
        <s v="TICKET-1060"/>
        <s v="TICKET-1061"/>
        <s v="TICKET-1062"/>
        <s v="TICKET-1063"/>
        <s v="TICKET-1064"/>
        <s v="TICKET-1065"/>
        <s v="TICKET-1066"/>
        <s v="TICKET-1067"/>
        <s v="TICKET-1068"/>
        <s v="TICKET-1069"/>
        <s v="TICKET-1070"/>
        <s v="TICKET-1071"/>
        <s v="TICKET-1072"/>
        <s v="TICKET-1073"/>
        <s v="TICKET-1074"/>
        <s v="TICKET-1075"/>
        <s v="TICKET-1076"/>
        <s v="TICKET-1077"/>
        <s v="TICKET-1078"/>
        <s v="TICKET-1079"/>
        <s v="TICKET-1080"/>
        <s v="TICKET-1081"/>
        <s v="TICKET-1082"/>
        <s v="TICKET-1083"/>
        <s v="TICKET-1084"/>
        <s v="TICKET-1085"/>
        <s v="TICKET-1086"/>
        <s v="TICKET-1087"/>
        <s v="TICKET-1088"/>
        <s v="TICKET-1089"/>
        <s v="TICKET-1090"/>
        <s v="TICKET-1091"/>
        <s v="TICKET-1092"/>
        <s v="TICKET-1093"/>
        <s v="TICKET-1094"/>
        <s v="TICKET-1095"/>
        <s v="TICKET-1096"/>
        <s v="TICKET-1097"/>
        <s v="TICKET-1098"/>
        <s v="TICKET-1099"/>
        <s v="TICKET-1100"/>
        <s v="TICKET-1101"/>
        <s v="TICKET-1102"/>
        <s v="TICKET-1103"/>
        <s v="TICKET-1104"/>
        <s v="TICKET-1105"/>
        <s v="TICKET-1106"/>
        <s v="TICKET-1107"/>
        <s v="TICKET-1108"/>
        <s v="TICKET-1109"/>
        <s v="TICKET-1110"/>
        <s v="TICKET-1111"/>
        <s v="TICKET-1112"/>
        <s v="TICKET-1113"/>
        <s v="TICKET-1114"/>
        <s v="TICKET-1115"/>
        <s v="TICKET-1116"/>
        <s v="TICKET-1117"/>
        <s v="TICKET-1118"/>
        <s v="TICKET-1119"/>
        <s v="TICKET-1120"/>
        <s v="TICKET-1121"/>
        <s v="TICKET-1122"/>
        <s v="TICKET-1123"/>
        <s v="TICKET-1124"/>
        <s v="TICKET-1125"/>
        <s v="TICKET-1126"/>
        <s v="TICKET-1127"/>
        <s v="TICKET-1128"/>
        <s v="TICKET-1129"/>
        <s v="TICKET-1130"/>
        <s v="TICKET-1131"/>
        <s v="TICKET-1132"/>
        <s v="TICKET-1133"/>
        <s v="TICKET-1134"/>
        <s v="TICKET-1135"/>
        <s v="TICKET-1136"/>
        <s v="TICKET-1137"/>
        <s v="TICKET-1138"/>
        <s v="TICKET-1139"/>
        <s v="TICKET-1140"/>
        <s v="TICKET-1141"/>
        <s v="TICKET-1142"/>
        <s v="TICKET-1143"/>
        <s v="TICKET-1144"/>
        <s v="TICKET-1145"/>
        <s v="TICKET-1146"/>
        <s v="TICKET-1147"/>
        <s v="TICKET-1148"/>
        <s v="TICKET-1149"/>
      </sharedItems>
    </cacheField>
    <cacheField name="submission_date" numFmtId="22">
      <sharedItems containsSemiMixedTypes="0" containsNonDate="0" containsDate="1" containsString="0" minDate="2025-06-18T07:42:24" maxDate="2025-09-15T13:02:57" count="150">
        <d v="2025-06-27T22:36:16"/>
        <d v="2025-09-01T19:27:59"/>
        <d v="2025-09-04T09:32:03"/>
        <d v="2025-07-28T17:47:34"/>
        <d v="2025-09-03T21:46:09"/>
        <d v="2025-08-04T20:32:40"/>
        <d v="2025-08-22T10:38:16"/>
        <d v="2025-07-05T07:43:28"/>
        <d v="2025-07-07T16:41:14"/>
        <d v="2025-09-10T14:49:33"/>
        <d v="2025-08-27T13:20:02"/>
        <d v="2025-06-24T01:56:19"/>
        <d v="2025-06-28T09:51:47"/>
        <d v="2025-07-22T09:08:54"/>
        <d v="2025-07-09T22:32:58"/>
        <d v="2025-07-23T22:34:11"/>
        <d v="2025-08-06T11:52:05"/>
        <d v="2025-06-30T16:42:14"/>
        <d v="2025-06-30T23:03:04"/>
        <d v="2025-07-03T07:27:15"/>
        <d v="2025-06-23T22:49:38"/>
        <d v="2025-07-08T11:34:57"/>
        <d v="2025-06-22T23:29:46"/>
        <d v="2025-08-29T12:27:53"/>
        <d v="2025-07-12T03:37:37"/>
        <d v="2025-07-13T05:42:50"/>
        <d v="2025-06-24T00:26:51"/>
        <d v="2025-07-03T19:29:05"/>
        <d v="2025-09-15T13:02:57"/>
        <d v="2025-08-27T21:57:13"/>
        <d v="2025-08-30T20:17:04"/>
        <d v="2025-08-24T23:58:58"/>
        <d v="2025-07-11T18:10:39"/>
        <d v="2025-09-04T19:33:03"/>
        <d v="2025-08-24T17:06:08"/>
        <d v="2025-06-30T17:48:03"/>
        <d v="2025-09-09T08:46:26"/>
        <d v="2025-08-11T10:56:36"/>
        <d v="2025-09-01T16:20:12"/>
        <d v="2025-08-14T20:30:07"/>
        <d v="2025-09-05T05:49:39"/>
        <d v="2025-09-13T18:26:30"/>
        <d v="2025-07-28T00:42:24"/>
        <d v="2025-07-30T21:37:33"/>
        <d v="2025-08-03T03:02:33"/>
        <d v="2025-07-05T09:41:54"/>
        <d v="2025-08-30T13:43:06"/>
        <d v="2025-06-22T15:23:41"/>
        <d v="2025-07-03T03:12:43"/>
        <d v="2025-08-09T17:51:19"/>
        <d v="2025-07-23T08:22:42"/>
        <d v="2025-07-31T19:51:43"/>
        <d v="2025-06-29T02:21:50"/>
        <d v="2025-08-15T20:41:48"/>
        <d v="2025-07-15T09:00:06"/>
        <d v="2025-06-21T01:06:48"/>
        <d v="2025-08-02T07:52:13"/>
        <d v="2025-07-22T08:29:35"/>
        <d v="2025-08-06T13:42:51"/>
        <d v="2025-06-19T06:37:43"/>
        <d v="2025-08-27T11:05:38"/>
        <d v="2025-09-10T20:19:38"/>
        <d v="2025-07-01T16:39:40"/>
        <d v="2025-08-02T07:57:09"/>
        <d v="2025-09-10T05:58:12"/>
        <d v="2025-08-17T19:11:16"/>
        <d v="2025-07-18T06:21:58"/>
        <d v="2025-07-06T02:18:19"/>
        <d v="2025-08-25T22:46:50"/>
        <d v="2025-09-07T00:30:29"/>
        <d v="2025-07-21T21:58:21"/>
        <d v="2025-07-24T12:55:27"/>
        <d v="2025-06-18T07:42:24"/>
        <d v="2025-09-03T02:34:13"/>
        <d v="2025-08-08T23:17:56"/>
        <d v="2025-08-28T01:48:14"/>
        <d v="2025-07-20T10:31:23"/>
        <d v="2025-07-17T15:42:38"/>
        <d v="2025-07-23T19:59:04"/>
        <d v="2025-06-27T20:58:34"/>
        <d v="2025-06-19T16:43:35"/>
        <d v="2025-06-27T00:50:45"/>
        <d v="2025-08-10T11:17:27"/>
        <d v="2025-07-29T01:49:12"/>
        <d v="2025-07-06T10:09:04"/>
        <d v="2025-07-30T04:23:34"/>
        <d v="2025-08-23T05:18:39"/>
        <d v="2025-07-10T03:11:23"/>
        <d v="2025-09-12T18:58:40"/>
        <d v="2025-09-02T15:20:46"/>
        <d v="2025-07-12T12:04:37"/>
        <d v="2025-08-06T04:36:43"/>
        <d v="2025-06-24T12:26:10"/>
        <d v="2025-06-25T21:27:43"/>
        <d v="2025-07-25T15:06:41"/>
        <d v="2025-07-25T17:47:29"/>
        <d v="2025-08-12T17:49:45"/>
        <d v="2025-07-25T21:16:19"/>
        <d v="2025-09-14T19:22:48"/>
        <d v="2025-07-31T00:15:23"/>
        <d v="2025-08-17T13:13:44"/>
        <d v="2025-09-11T12:55:11"/>
        <d v="2025-07-01T08:49:20"/>
        <d v="2025-06-25T22:36:03"/>
        <d v="2025-09-06T06:19:01"/>
        <d v="2025-08-03T06:45:06"/>
        <d v="2025-08-17T12:18:02"/>
        <d v="2025-07-28T14:54:12"/>
        <d v="2025-07-12T06:57:35"/>
        <d v="2025-07-13T00:24:13"/>
        <d v="2025-07-14T05:56:24"/>
        <d v="2025-08-28T11:29:55"/>
        <d v="2025-08-28T08:02:11"/>
        <d v="2025-08-20T11:19:48"/>
        <d v="2025-06-26T06:39:15"/>
        <d v="2025-09-04T00:02:17"/>
        <d v="2025-07-14T03:29:18"/>
        <d v="2025-07-24T06:40:03"/>
        <d v="2025-08-03T22:42:23"/>
        <d v="2025-07-12T00:15:34"/>
        <d v="2025-07-19T13:02:22"/>
        <d v="2025-06-29T20:08:30"/>
        <d v="2025-07-29T14:50:17"/>
        <d v="2025-08-19T01:11:31"/>
        <d v="2025-06-25T06:03:59"/>
        <d v="2025-08-02T18:27:58"/>
        <d v="2025-08-26T00:22:43"/>
        <d v="2025-07-17T15:23:19"/>
        <d v="2025-09-09T17:02:08"/>
        <d v="2025-09-06T17:30:19"/>
        <d v="2025-09-10T20:54:16"/>
        <d v="2025-08-10T12:29:53"/>
        <d v="2025-09-07T02:38:17"/>
        <d v="2025-07-21T07:07:14"/>
        <d v="2025-08-15T01:02:50"/>
        <d v="2025-06-24T05:57:14"/>
        <d v="2025-09-14T17:50:13"/>
        <d v="2025-06-29T09:14:35"/>
        <d v="2025-08-19T13:22:46"/>
        <d v="2025-08-21T14:38:53"/>
        <d v="2025-08-05T10:58:02"/>
        <d v="2025-08-18T10:22:03"/>
        <d v="2025-09-13T16:20:39"/>
        <d v="2025-08-03T06:49:31"/>
        <d v="2025-06-27T03:04:20"/>
        <d v="2025-08-31T15:49:39"/>
        <d v="2025-06-24T11:03:22"/>
        <d v="2025-09-02T16:56:42"/>
        <d v="2025-07-16T14:22:14"/>
        <d v="2025-07-31T04:12:39"/>
      </sharedItems>
      <fieldGroup par="9" base="1">
        <rangePr groupBy="days" startDate="2025-06-18T07:42:24" endDate="2025-09-15T13:02:57"/>
        <groupItems count="368">
          <s v="&lt;18-06-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9-2025"/>
        </groupItems>
      </fieldGroup>
    </cacheField>
    <cacheField name="resolution_date" numFmtId="22">
      <sharedItems containsSemiMixedTypes="0" containsNonDate="0" containsDate="1" containsString="0" minDate="2025-06-19T21:32:31" maxDate="2025-09-17T23:47:19" count="150">
        <d v="2025-06-28T03:46:41"/>
        <d v="2025-09-03T07:18:06"/>
        <d v="2025-09-05T23:50:37"/>
        <d v="2025-07-29T01:38:19"/>
        <d v="2025-09-04T06:53:07"/>
        <d v="2025-08-10T09:52:42"/>
        <d v="2025-08-23T14:11:49"/>
        <d v="2025-07-09T20:26:19"/>
        <d v="2025-07-08T10:04:28"/>
        <d v="2025-09-11T19:58:37"/>
        <d v="2025-09-02T16:28:31"/>
        <d v="2025-06-24T05:46:33"/>
        <d v="2025-06-29T02:58:41"/>
        <d v="2025-07-26T15:54:44"/>
        <d v="2025-07-10T01:11:32"/>
        <d v="2025-07-24T01:20:01"/>
        <d v="2025-08-11T08:18:53"/>
        <d v="2025-07-02T20:37:19"/>
        <d v="2025-07-04T11:48:25"/>
        <d v="2025-07-04T23:58:39"/>
        <d v="2025-06-25T11:06:40"/>
        <d v="2025-07-10T09:25:12"/>
        <d v="2025-06-23T16:34:14"/>
        <d v="2025-08-31T04:23:45"/>
        <d v="2025-07-16T09:42:35"/>
        <d v="2025-07-14T19:35:59"/>
        <d v="2025-06-24T12:14:52"/>
        <d v="2025-07-05T17:15:14"/>
        <d v="2025-09-17T07:57:18"/>
        <d v="2025-08-29T06:38:57"/>
        <d v="2025-09-06T02:38:11"/>
        <d v="2025-08-25T07:35:19"/>
        <d v="2025-07-17T06:40:38"/>
        <d v="2025-09-10T05:28:47"/>
        <d v="2025-08-30T19:43:21"/>
        <d v="2025-07-01T19:36:47"/>
        <d v="2025-09-13T06:18:49"/>
        <d v="2025-08-17T16:07:19"/>
        <d v="2025-09-02T02:43:04"/>
        <d v="2025-08-15T08:44:19"/>
        <d v="2025-09-06T22:59:27"/>
        <d v="2025-09-14T19:22:39"/>
        <d v="2025-08-03T11:00:27"/>
        <d v="2025-07-30T23:09:44"/>
        <d v="2025-08-03T07:10:24"/>
        <d v="2025-07-05T21:04:57"/>
        <d v="2025-09-01T11:41:59"/>
        <d v="2025-06-27T12:57:19"/>
        <d v="2025-07-03T15:39:54"/>
        <d v="2025-08-10T20:32:46"/>
        <d v="2025-07-27T23:09:54"/>
        <d v="2025-08-07T01:25:06"/>
        <d v="2025-06-29T17:27:46"/>
        <d v="2025-08-16T09:53:39"/>
        <d v="2025-07-15T19:03:10"/>
        <d v="2025-06-22T17:47:48"/>
        <d v="2025-08-03T14:28:34"/>
        <d v="2025-07-29T06:48:58"/>
        <d v="2025-08-08T07:16:37"/>
        <d v="2025-06-20T14:17:59"/>
        <d v="2025-08-28T11:49:50"/>
        <d v="2025-09-12T10:03:29"/>
        <d v="2025-07-02T16:21:43"/>
        <d v="2025-08-02T15:55:37"/>
        <d v="2025-09-10T14:01:55"/>
        <d v="2025-08-18T09:55:36"/>
        <d v="2025-07-23T20:05:28"/>
        <d v="2025-07-07T13:03:00"/>
        <d v="2025-08-29T05:16:59"/>
        <d v="2025-09-08T00:37:01"/>
        <d v="2025-07-22T01:11:24"/>
        <d v="2025-07-25T08:58:26"/>
        <d v="2025-06-19T21:32:31"/>
        <d v="2025-09-03T10:40:49"/>
        <d v="2025-08-14T23:19:46"/>
        <d v="2025-08-28T09:40:58"/>
        <d v="2025-07-20T14:11:12"/>
        <d v="2025-07-17T22:40:18"/>
        <d v="2025-07-26T11:29:43"/>
        <d v="2025-07-01T20:08:25"/>
        <d v="2025-06-25T22:32:38"/>
        <d v="2025-07-01T10:00:38"/>
        <d v="2025-08-12T08:21:18"/>
        <d v="2025-07-31T13:26:15"/>
        <d v="2025-07-11T00:20:43"/>
        <d v="2025-07-30T13:08:10"/>
        <d v="2025-08-24T16:37:11"/>
        <d v="2025-07-10T23:12:02"/>
        <d v="2025-09-14T02:31:59"/>
        <d v="2025-09-08T16:21:32"/>
        <d v="2025-07-13T06:22:20"/>
        <d v="2025-08-12T11:09:01"/>
        <d v="2025-06-26T10:49:37"/>
        <d v="2025-06-29T07:08:52"/>
        <d v="2025-07-30T00:43:14"/>
        <d v="2025-07-26T21:49:20"/>
        <d v="2025-08-14T13:34:20"/>
        <d v="2025-08-01T13:28:59"/>
        <d v="2025-09-14T22:26:30"/>
        <d v="2025-07-31T09:04:04"/>
        <d v="2025-08-17T15:17:50"/>
        <d v="2025-09-13T06:31:30"/>
        <d v="2025-07-02T11:20:43"/>
        <d v="2025-06-26T09:59:45"/>
        <d v="2025-09-06T10:36:27"/>
        <d v="2025-08-05T16:41:24"/>
        <d v="2025-08-18T18:29:37"/>
        <d v="2025-07-31T08:11:11"/>
        <d v="2025-07-12T11:56:19"/>
        <d v="2025-07-19T22:24:35"/>
        <d v="2025-07-14T12:35:51"/>
        <d v="2025-09-04T10:40:12"/>
        <d v="2025-09-02T04:40:56"/>
        <d v="2025-08-20T13:31:35"/>
        <d v="2025-06-26T21:07:28"/>
        <d v="2025-09-08T17:50:48"/>
        <d v="2025-07-15T11:50:20"/>
        <d v="2025-07-26T02:18:46"/>
        <d v="2025-08-10T12:59:57"/>
        <d v="2025-07-12T19:05:17"/>
        <d v="2025-07-20T07:25:23"/>
        <d v="2025-06-30T10:31:43"/>
        <d v="2025-07-30T09:24:48"/>
        <d v="2025-08-20T19:06:33"/>
        <d v="2025-06-25T18:46:33"/>
        <d v="2025-08-03T12:11:22"/>
        <d v="2025-08-29T23:04:42"/>
        <d v="2025-07-22T01:23:32"/>
        <d v="2025-09-10T01:18:37"/>
        <d v="2025-09-08T16:09:05"/>
        <d v="2025-09-12T16:37:10"/>
        <d v="2025-08-14T09:20:30"/>
        <d v="2025-09-10T14:05:49"/>
        <d v="2025-07-21T17:05:13"/>
        <d v="2025-08-22T00:38:38"/>
        <d v="2025-06-29T00:46:12"/>
        <d v="2025-09-17T23:47:19"/>
        <d v="2025-06-30T23:16:51"/>
        <d v="2025-08-20T12:41:10"/>
        <d v="2025-08-27T10:24:43"/>
        <d v="2025-08-06T01:50:41"/>
        <d v="2025-08-18T23:14:10"/>
        <d v="2025-09-14T21:34:39"/>
        <d v="2025-08-06T22:49:37"/>
        <d v="2025-06-27T15:18:06"/>
        <d v="2025-08-31T17:50:14"/>
        <d v="2025-06-24T18:54:19"/>
        <d v="2025-09-06T05:01:09"/>
        <d v="2025-07-17T16:50:12"/>
        <d v="2025-08-01T04:13:25"/>
      </sharedItems>
      <fieldGroup par="10" base="2">
        <rangePr groupBy="days" startDate="2025-06-19T21:32:31" endDate="2025-09-17T23:47:19"/>
        <groupItems count="368">
          <s v="&lt;19-06-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09-2025"/>
        </groupItems>
      </fieldGroup>
    </cacheField>
    <cacheField name="category" numFmtId="0">
      <sharedItems count="7">
        <s v="Other"/>
        <s v="Software"/>
        <s v="Hardware"/>
        <s v="Access"/>
        <s v="Network"/>
        <s v="Security"/>
        <s v="Billing"/>
      </sharedItems>
    </cacheField>
    <cacheField name="assigned_analyst" numFmtId="0">
      <sharedItems count="10">
        <s v="Toni Wiley"/>
        <s v="Tanya Jones"/>
        <s v="Sheila Ball"/>
        <s v="Cynthia Rich"/>
        <s v="Janice Burns"/>
        <s v="Autumn Ryan"/>
        <s v="Amanda White"/>
        <s v="Adam Stone"/>
        <s v="Natasha Harris"/>
        <s v="Marvin West"/>
      </sharedItems>
    </cacheField>
    <cacheField name="description" numFmtId="0">
      <sharedItems/>
    </cacheField>
    <cacheField name="priority" numFmtId="0">
      <sharedItems/>
    </cacheField>
    <cacheField name="Day of Week" numFmtId="0">
      <sharedItems count="7">
        <s v="Friday"/>
        <s v="Monday"/>
        <s v="Thursday"/>
        <s v="Wednesday"/>
        <s v="Saturday"/>
        <s v="Tuesday"/>
        <s v="Sunday"/>
      </sharedItems>
    </cacheField>
    <cacheField name="Resolution_time" numFmtId="0">
      <sharedItems containsSemiMixedTypes="0" containsString="0" containsNumber="1" minValue="6.4023796294350177E-2" maxValue="6.9831930555592407"/>
    </cacheField>
    <cacheField name="Months" numFmtId="0" databaseField="0">
      <fieldGroup base="1">
        <rangePr groupBy="months" startDate="2025-06-18T07:42:24" endDate="2025-09-15T13:02:57"/>
        <groupItems count="14">
          <s v="&lt;18-06-2025"/>
          <s v="Jan"/>
          <s v="Feb"/>
          <s v="Mar"/>
          <s v="Apr"/>
          <s v="May"/>
          <s v="Jun"/>
          <s v="Jul"/>
          <s v="Aug"/>
          <s v="Sep"/>
          <s v="Oct"/>
          <s v="Nov"/>
          <s v="Dec"/>
          <s v="&gt;15-09-2025"/>
        </groupItems>
      </fieldGroup>
    </cacheField>
    <cacheField name="Months2" numFmtId="0" databaseField="0">
      <fieldGroup base="2">
        <rangePr groupBy="months" startDate="2025-06-19T21:32:31" endDate="2025-09-17T23:47:19"/>
        <groupItems count="14">
          <s v="&lt;19-06-2025"/>
          <s v="Jan"/>
          <s v="Feb"/>
          <s v="Mar"/>
          <s v="Apr"/>
          <s v="May"/>
          <s v="Jun"/>
          <s v="Jul"/>
          <s v="Aug"/>
          <s v="Sep"/>
          <s v="Oct"/>
          <s v="Nov"/>
          <s v="Dec"/>
          <s v="&gt;17-09-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s v="Dream part subject until full. Brother century suddenly above. Six eight benefit animal move best."/>
    <s v="High"/>
    <x v="0"/>
    <n v="0.21556331018655328"/>
  </r>
  <r>
    <x v="1"/>
    <x v="1"/>
    <x v="1"/>
    <x v="1"/>
    <x v="1"/>
    <s v="Application X is crashing every time I open it. Lead how phone also score player later blue."/>
    <s v="Medium"/>
    <x v="1"/>
    <n v="1.4931334374996368"/>
  </r>
  <r>
    <x v="2"/>
    <x v="2"/>
    <x v="2"/>
    <x v="0"/>
    <x v="2"/>
    <s v="Black attack cold would page. Reality she war a chance. Physical hour Mr item red agreement for."/>
    <s v="Medium"/>
    <x v="2"/>
    <n v="1.5962265624984866"/>
  </r>
  <r>
    <x v="3"/>
    <x v="3"/>
    <x v="3"/>
    <x v="2"/>
    <x v="3"/>
    <s v="My laptop's keyboard isn't working properly, some keys are stuck. Tree culture above effort more national whether."/>
    <s v="High"/>
    <x v="1"/>
    <n v="0.32691324073675787"/>
  </r>
  <r>
    <x v="4"/>
    <x v="4"/>
    <x v="4"/>
    <x v="1"/>
    <x v="4"/>
    <s v="Application X is crashing every time I open it. Order wrong fight foreign bad house pick."/>
    <s v="High"/>
    <x v="3"/>
    <n v="0.37984409722412238"/>
  </r>
  <r>
    <x v="5"/>
    <x v="5"/>
    <x v="5"/>
    <x v="1"/>
    <x v="2"/>
    <s v="Application X is crashing every time I open it. Sport should network realize relate very voice."/>
    <s v="Low"/>
    <x v="1"/>
    <n v="5.5555703124991851"/>
  </r>
  <r>
    <x v="6"/>
    <x v="6"/>
    <x v="6"/>
    <x v="3"/>
    <x v="5"/>
    <s v="I'm locked out of my account and can't reset my password. If rather year suffer wrong."/>
    <s v="Low"/>
    <x v="0"/>
    <n v="1.1483078703677165"/>
  </r>
  <r>
    <x v="7"/>
    <x v="7"/>
    <x v="7"/>
    <x v="1"/>
    <x v="6"/>
    <s v="Application X is crashing every time I open it. Here bill leg region training. Grow new may."/>
    <s v="Low"/>
    <x v="4"/>
    <n v="4.5297630439818022"/>
  </r>
  <r>
    <x v="8"/>
    <x v="8"/>
    <x v="8"/>
    <x v="2"/>
    <x v="6"/>
    <s v="My laptop's keyboard isn't working properly, some keys are stuck. Common maintain theory involve ok detail."/>
    <s v="Medium"/>
    <x v="1"/>
    <n v="0.72447325231041759"/>
  </r>
  <r>
    <x v="9"/>
    <x v="9"/>
    <x v="9"/>
    <x v="1"/>
    <x v="2"/>
    <s v="Application X is crashing every time I open it. Responsibility again recently traditional word."/>
    <s v="Medium"/>
    <x v="3"/>
    <n v="1.2146328703674953"/>
  </r>
  <r>
    <x v="10"/>
    <x v="10"/>
    <x v="10"/>
    <x v="1"/>
    <x v="7"/>
    <s v="Application X is crashing every time I open it. Structure this woman born."/>
    <s v="Low"/>
    <x v="3"/>
    <n v="6.1308973032355425"/>
  </r>
  <r>
    <x v="11"/>
    <x v="11"/>
    <x v="11"/>
    <x v="4"/>
    <x v="8"/>
    <s v="Can't connect to the Wi-Fi. It's showing 'No internet access'. Maintain without college strong few not week."/>
    <s v="High"/>
    <x v="5"/>
    <n v="0.15988438657223014"/>
  </r>
  <r>
    <x v="12"/>
    <x v="12"/>
    <x v="12"/>
    <x v="4"/>
    <x v="0"/>
    <s v="Can't connect to the Wi-Fi. It's showing 'No internet access'. Official human task door century energy Mr."/>
    <s v="Medium"/>
    <x v="4"/>
    <n v="0.71312657406815561"/>
  </r>
  <r>
    <x v="13"/>
    <x v="13"/>
    <x v="13"/>
    <x v="1"/>
    <x v="6"/>
    <s v="Application X is crashing every time I open it. Spring operation performance glass choice kind."/>
    <s v="Low"/>
    <x v="5"/>
    <n v="4.2818313541647512"/>
  </r>
  <r>
    <x v="14"/>
    <x v="14"/>
    <x v="14"/>
    <x v="1"/>
    <x v="1"/>
    <s v="Application X is crashing every time I open it. Summer yard maintain fire ask eight."/>
    <s v="High"/>
    <x v="3"/>
    <n v="0.11011243055691011"/>
  </r>
  <r>
    <x v="15"/>
    <x v="15"/>
    <x v="15"/>
    <x v="1"/>
    <x v="9"/>
    <s v="Application X is crashing every time I open it. Least check between event. Can brother two form."/>
    <s v="High"/>
    <x v="3"/>
    <n v="0.11517026620276738"/>
  </r>
  <r>
    <x v="16"/>
    <x v="16"/>
    <x v="16"/>
    <x v="1"/>
    <x v="6"/>
    <s v="Application X is crashing every time I open it. Resource in affect charge customer accept dream."/>
    <s v="Low"/>
    <x v="3"/>
    <n v="4.8519405324113904"/>
  </r>
  <r>
    <x v="17"/>
    <x v="17"/>
    <x v="17"/>
    <x v="5"/>
    <x v="0"/>
    <s v="Thought national word picture each deep."/>
    <s v="Low"/>
    <x v="1"/>
    <n v="2.1632500000050641"/>
  </r>
  <r>
    <x v="18"/>
    <x v="18"/>
    <x v="18"/>
    <x v="4"/>
    <x v="3"/>
    <s v="Can't connect to the Wi-Fi. It's showing 'No internet access'. Card series research else cup though artist."/>
    <s v="Low"/>
    <x v="1"/>
    <n v="3.5314890509253019"/>
  </r>
  <r>
    <x v="19"/>
    <x v="19"/>
    <x v="19"/>
    <x v="2"/>
    <x v="3"/>
    <s v="My laptop's keyboard isn't working properly, some keys are stuck. Young up grow after offer east region would."/>
    <s v="Medium"/>
    <x v="2"/>
    <n v="1.6884667361155152"/>
  </r>
  <r>
    <x v="20"/>
    <x v="20"/>
    <x v="20"/>
    <x v="1"/>
    <x v="1"/>
    <s v="Application X is crashing every time I open it. Nice then management."/>
    <s v="Medium"/>
    <x v="1"/>
    <n v="1.5118351504643215"/>
  </r>
  <r>
    <x v="21"/>
    <x v="21"/>
    <x v="21"/>
    <x v="1"/>
    <x v="0"/>
    <s v="Application X is crashing every time I open it. Water act involve follow hot."/>
    <s v="Medium"/>
    <x v="5"/>
    <n v="1.9099031597215799"/>
  </r>
  <r>
    <x v="22"/>
    <x v="22"/>
    <x v="22"/>
    <x v="1"/>
    <x v="7"/>
    <s v="Application X is crashing every time I open it. Another such apply table let."/>
    <s v="Medium"/>
    <x v="6"/>
    <n v="0.7114427662017988"/>
  </r>
  <r>
    <x v="23"/>
    <x v="23"/>
    <x v="23"/>
    <x v="1"/>
    <x v="4"/>
    <s v="Application X is crashing every time I open it. Senior per draw day mention sea quickly."/>
    <s v="Medium"/>
    <x v="0"/>
    <n v="1.6637965393456398"/>
  </r>
  <r>
    <x v="24"/>
    <x v="24"/>
    <x v="24"/>
    <x v="4"/>
    <x v="3"/>
    <s v="Can't connect to the Wi-Fi. It's showing 'No internet access'. Race Republican expect east might collection."/>
    <s v="Low"/>
    <x v="4"/>
    <n v="4.2534478356465115"/>
  </r>
  <r>
    <x v="25"/>
    <x v="25"/>
    <x v="25"/>
    <x v="1"/>
    <x v="1"/>
    <s v="Application X is crashing every time I open it. Total maintain service writer."/>
    <s v="Medium"/>
    <x v="6"/>
    <n v="1.5785775115728029"/>
  </r>
  <r>
    <x v="26"/>
    <x v="26"/>
    <x v="26"/>
    <x v="4"/>
    <x v="4"/>
    <s v="Can't connect to the Wi-Fi. It's showing 'No internet access'. Individual herself decide generation."/>
    <s v="High"/>
    <x v="5"/>
    <n v="0.49167473379930016"/>
  </r>
  <r>
    <x v="27"/>
    <x v="27"/>
    <x v="27"/>
    <x v="6"/>
    <x v="1"/>
    <s v="Yourself floor foot character choose. Brother prepare but film key name."/>
    <s v="Medium"/>
    <x v="2"/>
    <n v="1.9070437268528622"/>
  </r>
  <r>
    <x v="28"/>
    <x v="28"/>
    <x v="28"/>
    <x v="0"/>
    <x v="0"/>
    <s v="Successful radio play network yet. Fill director direction ready white."/>
    <s v="Low"/>
    <x v="1"/>
    <n v="1.7877383796294453"/>
  </r>
  <r>
    <x v="29"/>
    <x v="29"/>
    <x v="29"/>
    <x v="1"/>
    <x v="2"/>
    <s v="Application X is crashing every time I open it. Southern beat general first much hotel agency."/>
    <s v="Medium"/>
    <x v="3"/>
    <n v="1.3623129398110905"/>
  </r>
  <r>
    <x v="30"/>
    <x v="30"/>
    <x v="30"/>
    <x v="4"/>
    <x v="2"/>
    <s v="Can't connect to the Wi-Fi. It's showing 'No internet access'. Cup government by life reduce each customer."/>
    <s v="Low"/>
    <x v="4"/>
    <n v="6.2646600000007311"/>
  </r>
  <r>
    <x v="31"/>
    <x v="31"/>
    <x v="31"/>
    <x v="1"/>
    <x v="1"/>
    <s v="Application X is crashing every time I open it. Market growth film."/>
    <s v="High"/>
    <x v="6"/>
    <n v="0.31691557870362885"/>
  </r>
  <r>
    <x v="32"/>
    <x v="32"/>
    <x v="32"/>
    <x v="4"/>
    <x v="6"/>
    <s v="Can't connect to the Wi-Fi. It's showing 'No internet access'. Could north state feel others participant."/>
    <s v="Low"/>
    <x v="0"/>
    <n v="5.5208228356495965"/>
  </r>
  <r>
    <x v="33"/>
    <x v="33"/>
    <x v="33"/>
    <x v="6"/>
    <x v="5"/>
    <s v="Follow chair add finally these plan staff. Across shoulder school free."/>
    <s v="Low"/>
    <x v="2"/>
    <n v="5.4137099421277526"/>
  </r>
  <r>
    <x v="34"/>
    <x v="34"/>
    <x v="34"/>
    <x v="1"/>
    <x v="4"/>
    <s v="Application X is crashing every time I open it. Bag half join treat water by affect."/>
    <s v="Low"/>
    <x v="6"/>
    <n v="6.1091728819446871"/>
  </r>
  <r>
    <x v="35"/>
    <x v="35"/>
    <x v="35"/>
    <x v="2"/>
    <x v="1"/>
    <s v="My laptop's keyboard isn't working properly, some keys are stuck. Science bad news pressure anything probably save."/>
    <s v="Low"/>
    <x v="1"/>
    <n v="1.075511469905905"/>
  </r>
  <r>
    <x v="36"/>
    <x v="36"/>
    <x v="36"/>
    <x v="1"/>
    <x v="8"/>
    <s v="Application X is crashing every time I open it. Fund project find law identify close worker."/>
    <s v="Low"/>
    <x v="5"/>
    <n v="3.8974906365765492"/>
  </r>
  <r>
    <x v="37"/>
    <x v="37"/>
    <x v="37"/>
    <x v="0"/>
    <x v="7"/>
    <s v="Rate play media air. Trade thank hundred choice reduce remember possible us."/>
    <s v="Low"/>
    <x v="1"/>
    <n v="6.2157778124965262"/>
  </r>
  <r>
    <x v="38"/>
    <x v="38"/>
    <x v="38"/>
    <x v="1"/>
    <x v="5"/>
    <s v="Application X is crashing every time I open it. Effort avoid door shoulder cut."/>
    <s v="Medium"/>
    <x v="1"/>
    <n v="0.43254781250288943"/>
  </r>
  <r>
    <x v="39"/>
    <x v="39"/>
    <x v="39"/>
    <x v="3"/>
    <x v="6"/>
    <s v="I'm locked out of my account and can't reset my password. Point fine stop radio chair tree career scene."/>
    <s v="Medium"/>
    <x v="2"/>
    <n v="0.50985465278063202"/>
  </r>
  <r>
    <x v="40"/>
    <x v="40"/>
    <x v="40"/>
    <x v="4"/>
    <x v="0"/>
    <s v="Can't connect to the Wi-Fi. It's showing 'No internet access'. Simple practice operation move put."/>
    <s v="Medium"/>
    <x v="0"/>
    <n v="1.7151448148142663"/>
  </r>
  <r>
    <x v="41"/>
    <x v="41"/>
    <x v="41"/>
    <x v="2"/>
    <x v="1"/>
    <s v="My laptop's keyboard isn't working properly, some keys are stuck. Firm discuss audience say amount."/>
    <s v="Low"/>
    <x v="4"/>
    <n v="1.0389951620381908"/>
  </r>
  <r>
    <x v="42"/>
    <x v="42"/>
    <x v="42"/>
    <x v="6"/>
    <x v="9"/>
    <s v="Physical business information._x000a_Activity else house another. Still protect admit answer."/>
    <s v="Low"/>
    <x v="1"/>
    <n v="6.4291995023158961"/>
  </r>
  <r>
    <x v="43"/>
    <x v="43"/>
    <x v="43"/>
    <x v="1"/>
    <x v="6"/>
    <s v="Application X is crashing every time I open it. Anything despite not."/>
    <s v="Critical"/>
    <x v="3"/>
    <n v="6.4023796294350177E-2"/>
  </r>
  <r>
    <x v="44"/>
    <x v="44"/>
    <x v="44"/>
    <x v="2"/>
    <x v="5"/>
    <s v="My laptop's keyboard isn't working properly, some keys are stuck. Film answer tax different carry represent."/>
    <s v="High"/>
    <x v="6"/>
    <n v="0.17212030092196073"/>
  </r>
  <r>
    <x v="45"/>
    <x v="45"/>
    <x v="45"/>
    <x v="1"/>
    <x v="1"/>
    <s v="Application X is crashing every time I open it. American computer let go event."/>
    <s v="High"/>
    <x v="4"/>
    <n v="0.47434335647994885"/>
  </r>
  <r>
    <x v="46"/>
    <x v="46"/>
    <x v="46"/>
    <x v="4"/>
    <x v="4"/>
    <s v="Can't connect to the Wi-Fi. It's showing 'No internet access'. Build oil wait community less happen."/>
    <s v="Medium"/>
    <x v="4"/>
    <n v="1.9158922916612937"/>
  </r>
  <r>
    <x v="47"/>
    <x v="47"/>
    <x v="47"/>
    <x v="3"/>
    <x v="1"/>
    <s v="I'm locked out of my account and can't reset my password. Decide stuff agree national politics current son."/>
    <s v="Low"/>
    <x v="6"/>
    <n v="4.8983654745388776"/>
  </r>
  <r>
    <x v="48"/>
    <x v="48"/>
    <x v="48"/>
    <x v="4"/>
    <x v="1"/>
    <s v="Can't connect to the Wi-Fi. It's showing 'No internet access'. Phone interview worker could."/>
    <s v="Medium"/>
    <x v="2"/>
    <n v="0.51888037036405876"/>
  </r>
  <r>
    <x v="49"/>
    <x v="49"/>
    <x v="49"/>
    <x v="4"/>
    <x v="1"/>
    <s v="Can't connect to the Wi-Fi. It's showing 'No internet access'. Together life least mission."/>
    <s v="Medium"/>
    <x v="4"/>
    <n v="1.1121135879584472"/>
  </r>
  <r>
    <x v="50"/>
    <x v="50"/>
    <x v="50"/>
    <x v="0"/>
    <x v="3"/>
    <s v="If forget newspaper behavior note put. Almost affect entire. Trial set capital real."/>
    <s v="Low"/>
    <x v="3"/>
    <n v="4.616109988426615"/>
  </r>
  <r>
    <x v="51"/>
    <x v="51"/>
    <x v="51"/>
    <x v="1"/>
    <x v="1"/>
    <s v="Application X is crashing every time I open it. My sound short."/>
    <s v="Low"/>
    <x v="2"/>
    <n v="6.2315085879672552"/>
  </r>
  <r>
    <x v="52"/>
    <x v="52"/>
    <x v="52"/>
    <x v="1"/>
    <x v="3"/>
    <s v="Application X is crashing every time I open it. Where culture site value set."/>
    <s v="Medium"/>
    <x v="6"/>
    <n v="0.62912232638336718"/>
  </r>
  <r>
    <x v="53"/>
    <x v="53"/>
    <x v="53"/>
    <x v="1"/>
    <x v="1"/>
    <s v="Application X is crashing every time I open it. Go claim billion small experience old."/>
    <s v="Medium"/>
    <x v="0"/>
    <n v="0.54988851852249354"/>
  </r>
  <r>
    <x v="54"/>
    <x v="54"/>
    <x v="54"/>
    <x v="4"/>
    <x v="2"/>
    <s v="Can't connect to the Wi-Fi. It's showing 'No internet access'. Option name including."/>
    <s v="High"/>
    <x v="5"/>
    <n v="0.41878974537394242"/>
  </r>
  <r>
    <x v="55"/>
    <x v="55"/>
    <x v="55"/>
    <x v="3"/>
    <x v="1"/>
    <s v="I'm locked out of my account and can't reset my password. Idea enter expert decision something."/>
    <s v="Medium"/>
    <x v="4"/>
    <n v="1.6951373032425181"/>
  </r>
  <r>
    <x v="56"/>
    <x v="56"/>
    <x v="56"/>
    <x v="0"/>
    <x v="3"/>
    <s v="Through culture similar finally. Oil world money about fine street small."/>
    <s v="Medium"/>
    <x v="4"/>
    <n v="1.2752408564847428"/>
  </r>
  <r>
    <x v="57"/>
    <x v="57"/>
    <x v="57"/>
    <x v="5"/>
    <x v="6"/>
    <s v="Weight go sort sign law response since. Sister other actually Mrs fight everything get."/>
    <s v="Low"/>
    <x v="5"/>
    <n v="6.930126562496298"/>
  </r>
  <r>
    <x v="58"/>
    <x v="58"/>
    <x v="58"/>
    <x v="0"/>
    <x v="6"/>
    <s v="Particular ask company nearly exist exactly friend."/>
    <s v="Medium"/>
    <x v="3"/>
    <n v="1.7317859953691368"/>
  </r>
  <r>
    <x v="59"/>
    <x v="59"/>
    <x v="59"/>
    <x v="1"/>
    <x v="5"/>
    <s v="Application X is crashing every time I open it. Skin subject purpose baby training."/>
    <s v="Medium"/>
    <x v="2"/>
    <n v="1.319624652780476"/>
  </r>
  <r>
    <x v="60"/>
    <x v="60"/>
    <x v="60"/>
    <x v="2"/>
    <x v="3"/>
    <s v="My laptop's keyboard isn't working properly, some keys are stuck. Than none office improve."/>
    <s v="Medium"/>
    <x v="3"/>
    <n v="1.0306974421255291"/>
  </r>
  <r>
    <x v="61"/>
    <x v="61"/>
    <x v="61"/>
    <x v="1"/>
    <x v="0"/>
    <s v="Application X is crashing every time I open it. With because article scene father black."/>
    <s v="Medium"/>
    <x v="3"/>
    <n v="1.5721168981472147"/>
  </r>
  <r>
    <x v="62"/>
    <x v="62"/>
    <x v="62"/>
    <x v="1"/>
    <x v="7"/>
    <s v="Application X is crashing every time I open it. Food pass energy fund need read anything."/>
    <s v="Medium"/>
    <x v="5"/>
    <n v="0.98752784722455544"/>
  </r>
  <r>
    <x v="63"/>
    <x v="63"/>
    <x v="63"/>
    <x v="3"/>
    <x v="7"/>
    <s v="I'm locked out of my account and can't reset my password. Agreement news significant cultural agree."/>
    <s v="High"/>
    <x v="4"/>
    <n v="0.33226525463396683"/>
  </r>
  <r>
    <x v="64"/>
    <x v="64"/>
    <x v="64"/>
    <x v="3"/>
    <x v="4"/>
    <s v="I'm locked out of my account and can't reset my password. Especially under always tend teacher build."/>
    <s v="Medium"/>
    <x v="3"/>
    <n v="0.33591586805414408"/>
  </r>
  <r>
    <x v="65"/>
    <x v="65"/>
    <x v="65"/>
    <x v="4"/>
    <x v="0"/>
    <s v="Can't connect to the Wi-Fi. It's showing 'No internet access'. Child as debate economy."/>
    <s v="Medium"/>
    <x v="6"/>
    <n v="0.61412750000454253"/>
  </r>
  <r>
    <x v="66"/>
    <x v="66"/>
    <x v="66"/>
    <x v="2"/>
    <x v="2"/>
    <s v="My laptop's keyboard isn't working properly, some keys are stuck. Someone poor mission fill free."/>
    <s v="Low"/>
    <x v="0"/>
    <n v="5.571883078700921"/>
  </r>
  <r>
    <x v="67"/>
    <x v="67"/>
    <x v="67"/>
    <x v="4"/>
    <x v="7"/>
    <s v="Can't connect to the Wi-Fi. It's showing 'No internet access'. Represent safe scene wall dog."/>
    <s v="Medium"/>
    <x v="6"/>
    <n v="1.447701793986198"/>
  </r>
  <r>
    <x v="68"/>
    <x v="68"/>
    <x v="68"/>
    <x v="1"/>
    <x v="5"/>
    <s v="Application X is crashing every time I open it. Claim success those baby."/>
    <s v="Low"/>
    <x v="1"/>
    <n v="3.270947418983269"/>
  </r>
  <r>
    <x v="69"/>
    <x v="69"/>
    <x v="69"/>
    <x v="1"/>
    <x v="4"/>
    <s v="Application X is crashing every time I open it. Term lot their. Dark itself deal race Democrat."/>
    <s v="Medium"/>
    <x v="6"/>
    <n v="1.0045384837940219"/>
  </r>
  <r>
    <x v="70"/>
    <x v="70"/>
    <x v="70"/>
    <x v="2"/>
    <x v="7"/>
    <s v="My laptop's keyboard isn't working properly, some keys are stuck. Bad past glass strategy. Above skin station."/>
    <s v="Critical"/>
    <x v="1"/>
    <n v="0.13406234953436069"/>
  </r>
  <r>
    <x v="71"/>
    <x v="71"/>
    <x v="71"/>
    <x v="1"/>
    <x v="2"/>
    <s v="Application X is crashing every time I open it. Tv control generation away public remain."/>
    <s v="Medium"/>
    <x v="2"/>
    <n v="0.83540611110947793"/>
  </r>
  <r>
    <x v="72"/>
    <x v="72"/>
    <x v="72"/>
    <x v="4"/>
    <x v="7"/>
    <s v="Can't connect to the Wi-Fi. It's showing 'No internet access'. Alone skill foot benefit."/>
    <s v="Medium"/>
    <x v="3"/>
    <n v="1.5764710763905896"/>
  </r>
  <r>
    <x v="73"/>
    <x v="73"/>
    <x v="73"/>
    <x v="0"/>
    <x v="8"/>
    <s v="Media respond them indicate. Up movie television stop. Garden ten city already close."/>
    <s v="High"/>
    <x v="3"/>
    <n v="0.33790782407595543"/>
  </r>
  <r>
    <x v="74"/>
    <x v="74"/>
    <x v="74"/>
    <x v="5"/>
    <x v="1"/>
    <s v="Lay support mouth control understand could. Husband for evening upon involve."/>
    <s v="Low"/>
    <x v="0"/>
    <n v="6.0012716898199869"/>
  </r>
  <r>
    <x v="75"/>
    <x v="75"/>
    <x v="75"/>
    <x v="0"/>
    <x v="7"/>
    <s v="Company month civil season include. Onto life for both little."/>
    <s v="High"/>
    <x v="2"/>
    <n v="0.32828305555449333"/>
  </r>
  <r>
    <x v="76"/>
    <x v="76"/>
    <x v="76"/>
    <x v="1"/>
    <x v="1"/>
    <s v="Application X is crashing every time I open it. Candidate push mind exactly feel."/>
    <s v="High"/>
    <x v="6"/>
    <n v="0.1526500925901928"/>
  </r>
  <r>
    <x v="77"/>
    <x v="77"/>
    <x v="77"/>
    <x v="5"/>
    <x v="5"/>
    <s v="Writer city suffer within important recently difference. Wait only relationship free."/>
    <s v="High"/>
    <x v="2"/>
    <n v="0.29004937500576489"/>
  </r>
  <r>
    <x v="78"/>
    <x v="78"/>
    <x v="78"/>
    <x v="1"/>
    <x v="1"/>
    <s v="Application X is crashing every time I open it. Form customer bill interest remember which."/>
    <s v="Low"/>
    <x v="3"/>
    <n v="2.6462853935154271"/>
  </r>
  <r>
    <x v="79"/>
    <x v="79"/>
    <x v="79"/>
    <x v="4"/>
    <x v="1"/>
    <s v="Can't connect to the Wi-Fi. It's showing 'No internet access'. Agree begin guess ask choice low themselves born."/>
    <s v="Low"/>
    <x v="0"/>
    <n v="3.9651646064812667"/>
  </r>
  <r>
    <x v="80"/>
    <x v="80"/>
    <x v="80"/>
    <x v="1"/>
    <x v="6"/>
    <s v="Application X is crashing every time I open it. Center worry nor whole."/>
    <s v="Low"/>
    <x v="2"/>
    <n v="6.2424024189822376"/>
  </r>
  <r>
    <x v="81"/>
    <x v="81"/>
    <x v="81"/>
    <x v="3"/>
    <x v="3"/>
    <s v="I'm locked out of my account and can't reset my password. Miss son responsibility hour."/>
    <s v="Low"/>
    <x v="0"/>
    <n v="4.3818595370394178"/>
  </r>
  <r>
    <x v="82"/>
    <x v="82"/>
    <x v="82"/>
    <x v="1"/>
    <x v="1"/>
    <s v="Application X is crashing every time I open it. Develop course foreign no either."/>
    <s v="Medium"/>
    <x v="6"/>
    <n v="1.8776677083296818"/>
  </r>
  <r>
    <x v="83"/>
    <x v="83"/>
    <x v="83"/>
    <x v="6"/>
    <x v="4"/>
    <s v="Public husband return country service very. Be exactly time firm yard price bad."/>
    <s v="Low"/>
    <x v="5"/>
    <n v="2.4840685995368403"/>
  </r>
  <r>
    <x v="84"/>
    <x v="84"/>
    <x v="84"/>
    <x v="2"/>
    <x v="9"/>
    <s v="My laptop's keyboard isn't working properly, some keys are stuck. Perform author more owner girl message."/>
    <s v="Low"/>
    <x v="6"/>
    <n v="4.5914260532445041"/>
  </r>
  <r>
    <x v="85"/>
    <x v="85"/>
    <x v="85"/>
    <x v="3"/>
    <x v="5"/>
    <s v="I'm locked out of my account and can't reset my password. Church stop environment."/>
    <s v="High"/>
    <x v="3"/>
    <n v="0.364311956014717"/>
  </r>
  <r>
    <x v="86"/>
    <x v="86"/>
    <x v="86"/>
    <x v="1"/>
    <x v="7"/>
    <s v="Application X is crashing every time I open it. Everyone body modern feeling shake loss."/>
    <s v="Medium"/>
    <x v="4"/>
    <n v="1.471196574078931"/>
  </r>
  <r>
    <x v="87"/>
    <x v="87"/>
    <x v="87"/>
    <x v="2"/>
    <x v="2"/>
    <s v="My laptop's keyboard isn't working properly, some keys are stuck. Whole material thus despite firm more."/>
    <s v="Medium"/>
    <x v="2"/>
    <n v="0.83378799768979661"/>
  </r>
  <r>
    <x v="88"/>
    <x v="88"/>
    <x v="88"/>
    <x v="1"/>
    <x v="5"/>
    <s v="Application X is crashing every time I open it. Until statement century seat vote never."/>
    <s v="Medium"/>
    <x v="0"/>
    <n v="1.3147969328711042"/>
  </r>
  <r>
    <x v="89"/>
    <x v="89"/>
    <x v="89"/>
    <x v="1"/>
    <x v="5"/>
    <s v="Application X is crashing every time I open it. Big season the."/>
    <s v="Low"/>
    <x v="5"/>
    <n v="6.042198611110507"/>
  </r>
  <r>
    <x v="90"/>
    <x v="90"/>
    <x v="90"/>
    <x v="1"/>
    <x v="0"/>
    <s v="Application X is crashing every time I open it. Usually career attention realize."/>
    <s v="Medium"/>
    <x v="4"/>
    <n v="0.7623043171261088"/>
  </r>
  <r>
    <x v="91"/>
    <x v="91"/>
    <x v="91"/>
    <x v="1"/>
    <x v="5"/>
    <s v="Application X is crashing every time I open it. Firm tonight statement feel Mrs music."/>
    <s v="Low"/>
    <x v="3"/>
    <n v="6.2724228819424752"/>
  </r>
  <r>
    <x v="92"/>
    <x v="92"/>
    <x v="92"/>
    <x v="4"/>
    <x v="3"/>
    <s v="Can't connect to the Wi-Fi. It's showing 'No internet access'. Life change act. Through imagine again whole."/>
    <s v="Medium"/>
    <x v="5"/>
    <n v="1.932957974539022"/>
  </r>
  <r>
    <x v="93"/>
    <x v="93"/>
    <x v="93"/>
    <x v="0"/>
    <x v="3"/>
    <s v="Including development attack wide. Concern his environment attack program rest team."/>
    <s v="Low"/>
    <x v="3"/>
    <n v="3.4035712268523639"/>
  </r>
  <r>
    <x v="94"/>
    <x v="94"/>
    <x v="94"/>
    <x v="3"/>
    <x v="7"/>
    <s v="I'm locked out of my account and can't reset my password. Another collection another many."/>
    <s v="Low"/>
    <x v="0"/>
    <n v="4.4003856828712742"/>
  </r>
  <r>
    <x v="95"/>
    <x v="95"/>
    <x v="95"/>
    <x v="0"/>
    <x v="0"/>
    <s v="Compare or at environmental. Six what them fall. Husband certain institution phone resource blood."/>
    <s v="Medium"/>
    <x v="0"/>
    <n v="1.1679592245345702"/>
  </r>
  <r>
    <x v="96"/>
    <x v="96"/>
    <x v="96"/>
    <x v="3"/>
    <x v="4"/>
    <s v="I'm locked out of my account and can't reset my password. Medical let door front. Law end always."/>
    <s v="Low"/>
    <x v="5"/>
    <n v="1.8226246759295464"/>
  </r>
  <r>
    <x v="97"/>
    <x v="97"/>
    <x v="97"/>
    <x v="2"/>
    <x v="5"/>
    <s v="My laptop's keyboard isn't working properly, some keys are stuck. Rich fire power city. Water career next relate."/>
    <s v="Low"/>
    <x v="0"/>
    <n v="6.6754545717558358"/>
  </r>
  <r>
    <x v="98"/>
    <x v="98"/>
    <x v="98"/>
    <x v="1"/>
    <x v="1"/>
    <s v="Application X is crashing every time I open it. Result happy song want finish stuff."/>
    <s v="High"/>
    <x v="6"/>
    <n v="0.12756943287240574"/>
  </r>
  <r>
    <x v="99"/>
    <x v="99"/>
    <x v="99"/>
    <x v="2"/>
    <x v="4"/>
    <s v="My laptop's keyboard isn't working properly, some keys are stuck. Themselves big matter happy small."/>
    <s v="Medium"/>
    <x v="2"/>
    <n v="0.36713880787283415"/>
  </r>
  <r>
    <x v="100"/>
    <x v="100"/>
    <x v="100"/>
    <x v="1"/>
    <x v="5"/>
    <s v="Application X is crashing every time I open it. Agent will respond help."/>
    <s v="Critical"/>
    <x v="6"/>
    <n v="8.6188703702646308E-2"/>
  </r>
  <r>
    <x v="101"/>
    <x v="101"/>
    <x v="101"/>
    <x v="1"/>
    <x v="7"/>
    <s v="Application X is crashing every time I open it. Short commercial everybody difficult change."/>
    <s v="Medium"/>
    <x v="2"/>
    <n v="1.7335555439858581"/>
  </r>
  <r>
    <x v="102"/>
    <x v="102"/>
    <x v="102"/>
    <x v="0"/>
    <x v="5"/>
    <s v="Any today within none hot again green. Remember attack event view father."/>
    <s v="Low"/>
    <x v="5"/>
    <n v="1.1051282291664393"/>
  </r>
  <r>
    <x v="103"/>
    <x v="103"/>
    <x v="103"/>
    <x v="1"/>
    <x v="9"/>
    <s v="Application X is crashing every time I open it. Represent senior his finish include nothing."/>
    <s v="Medium"/>
    <x v="3"/>
    <n v="0.4747938541622716"/>
  </r>
  <r>
    <x v="104"/>
    <x v="104"/>
    <x v="104"/>
    <x v="6"/>
    <x v="9"/>
    <s v="She certain boy build. Test bag country president environment."/>
    <s v="High"/>
    <x v="4"/>
    <n v="0.17877283565030666"/>
  </r>
  <r>
    <x v="105"/>
    <x v="105"/>
    <x v="105"/>
    <x v="4"/>
    <x v="8"/>
    <s v="Can't connect to the Wi-Fi. It's showing 'No internet access'. Hair job save son."/>
    <s v="Low"/>
    <x v="6"/>
    <n v="2.4140903125007753"/>
  </r>
  <r>
    <x v="106"/>
    <x v="106"/>
    <x v="106"/>
    <x v="6"/>
    <x v="2"/>
    <s v="Growth middle establish public."/>
    <s v="Medium"/>
    <x v="6"/>
    <n v="1.2580529282422503"/>
  </r>
  <r>
    <x v="107"/>
    <x v="107"/>
    <x v="107"/>
    <x v="2"/>
    <x v="1"/>
    <s v="My laptop's keyboard isn't working properly, some keys are stuck. Produce require line letter listen often."/>
    <s v="Low"/>
    <x v="1"/>
    <n v="2.7201320833337377"/>
  </r>
  <r>
    <x v="108"/>
    <x v="108"/>
    <x v="108"/>
    <x v="2"/>
    <x v="2"/>
    <s v="My laptop's keyboard isn't working properly, some keys are stuck. At bag continue."/>
    <s v="High"/>
    <x v="4"/>
    <n v="0.20745024305506377"/>
  </r>
  <r>
    <x v="109"/>
    <x v="109"/>
    <x v="109"/>
    <x v="1"/>
    <x v="2"/>
    <s v="Application X is crashing every time I open it. Without pass book tend."/>
    <s v="Low"/>
    <x v="6"/>
    <n v="6.916926099533157"/>
  </r>
  <r>
    <x v="110"/>
    <x v="110"/>
    <x v="110"/>
    <x v="3"/>
    <x v="7"/>
    <s v="I'm locked out of my account and can't reset my password. Right where add."/>
    <s v="High"/>
    <x v="1"/>
    <n v="0.27740504629036877"/>
  </r>
  <r>
    <x v="111"/>
    <x v="111"/>
    <x v="111"/>
    <x v="1"/>
    <x v="2"/>
    <s v="Application X is crashing every time I open it. Argue team senior low training."/>
    <s v="Low"/>
    <x v="2"/>
    <n v="6.9654803819430526"/>
  </r>
  <r>
    <x v="112"/>
    <x v="112"/>
    <x v="112"/>
    <x v="5"/>
    <x v="1"/>
    <s v="Plant attack should. Drive international today. Pretty statement her upon nation."/>
    <s v="Low"/>
    <x v="2"/>
    <n v="4.8602374537076685"/>
  </r>
  <r>
    <x v="113"/>
    <x v="113"/>
    <x v="113"/>
    <x v="2"/>
    <x v="3"/>
    <s v="My laptop's keyboard isn't working properly, some keys are stuck. Chance place build body population."/>
    <s v="High"/>
    <x v="3"/>
    <n v="9.1515497690124903E-2"/>
  </r>
  <r>
    <x v="114"/>
    <x v="114"/>
    <x v="114"/>
    <x v="0"/>
    <x v="4"/>
    <s v="Something million activity. Interview under cover career under. Can address show public."/>
    <s v="Medium"/>
    <x v="2"/>
    <n v="0.60292799768649274"/>
  </r>
  <r>
    <x v="115"/>
    <x v="115"/>
    <x v="115"/>
    <x v="3"/>
    <x v="9"/>
    <s v="I'm locked out of my account and can't reset my password. Receive nature option oil read trouble."/>
    <s v="Low"/>
    <x v="2"/>
    <n v="4.7420260879662237"/>
  </r>
  <r>
    <x v="116"/>
    <x v="116"/>
    <x v="116"/>
    <x v="1"/>
    <x v="2"/>
    <s v="Application X is crashing every time I open it. Toward ago director condition food share meet."/>
    <s v="Medium"/>
    <x v="1"/>
    <n v="1.347942812499241"/>
  </r>
  <r>
    <x v="117"/>
    <x v="117"/>
    <x v="117"/>
    <x v="3"/>
    <x v="8"/>
    <s v="I'm locked out of my account and can't reset my password. For we when drive. Start identify now throw."/>
    <s v="Medium"/>
    <x v="2"/>
    <n v="1.8185496296282508"/>
  </r>
  <r>
    <x v="118"/>
    <x v="118"/>
    <x v="118"/>
    <x v="6"/>
    <x v="5"/>
    <s v="Even focus animal civil quality lay skill. Need maybe former return."/>
    <s v="Low"/>
    <x v="6"/>
    <n v="6.5955354166653706"/>
  </r>
  <r>
    <x v="119"/>
    <x v="119"/>
    <x v="119"/>
    <x v="2"/>
    <x v="1"/>
    <s v="My laptop's keyboard isn't working properly, some keys are stuck. Cup money work certainly color."/>
    <s v="Medium"/>
    <x v="4"/>
    <n v="0.78451814815343823"/>
  </r>
  <r>
    <x v="120"/>
    <x v="120"/>
    <x v="120"/>
    <x v="0"/>
    <x v="4"/>
    <s v="Clear late win beat. Those arm say year him science door."/>
    <s v="Medium"/>
    <x v="4"/>
    <n v="0.76599427082692273"/>
  </r>
  <r>
    <x v="121"/>
    <x v="121"/>
    <x v="121"/>
    <x v="3"/>
    <x v="7"/>
    <s v="I'm locked out of my account and can't reset my password. Purpose almost nature create authority company."/>
    <s v="Medium"/>
    <x v="6"/>
    <n v="0.59946083332761191"/>
  </r>
  <r>
    <x v="122"/>
    <x v="122"/>
    <x v="122"/>
    <x v="1"/>
    <x v="0"/>
    <s v="Application X is crashing every time I open it. Garden better chance impact where how member."/>
    <s v="Medium"/>
    <x v="5"/>
    <n v="0.77396736110677011"/>
  </r>
  <r>
    <x v="123"/>
    <x v="123"/>
    <x v="123"/>
    <x v="4"/>
    <x v="1"/>
    <s v="Can't connect to the Wi-Fi. It's showing 'No internet access'. Bag without else red. Able year decision others."/>
    <s v="Medium"/>
    <x v="5"/>
    <n v="1.7465471064788289"/>
  </r>
  <r>
    <x v="124"/>
    <x v="124"/>
    <x v="124"/>
    <x v="6"/>
    <x v="9"/>
    <s v="Police machine star. Computer lead control across blue eye force. Parent set professor sit couple."/>
    <s v="Medium"/>
    <x v="3"/>
    <n v="0.5295589351808303"/>
  </r>
  <r>
    <x v="125"/>
    <x v="125"/>
    <x v="125"/>
    <x v="6"/>
    <x v="3"/>
    <s v="Group resource dinner knowledge scientist Mr. Police simply enter training too."/>
    <s v="Medium"/>
    <x v="4"/>
    <n v="0.73848039352014894"/>
  </r>
  <r>
    <x v="126"/>
    <x v="126"/>
    <x v="126"/>
    <x v="2"/>
    <x v="5"/>
    <s v="My laptop's keyboard isn't working properly, some keys are stuck. Go wear understand relate."/>
    <s v="Low"/>
    <x v="5"/>
    <n v="3.9458276736113476"/>
  </r>
  <r>
    <x v="127"/>
    <x v="127"/>
    <x v="127"/>
    <x v="1"/>
    <x v="9"/>
    <s v="Application X is crashing every time I open it. Gas mother rate wind fight success medical."/>
    <s v="Low"/>
    <x v="2"/>
    <n v="4.4168176851817407"/>
  </r>
  <r>
    <x v="128"/>
    <x v="128"/>
    <x v="128"/>
    <x v="4"/>
    <x v="2"/>
    <s v="Can't connect to the Wi-Fi. It's showing 'No internet access'. These entire million eat play sit."/>
    <s v="High"/>
    <x v="5"/>
    <n v="0.34477459490881301"/>
  </r>
  <r>
    <x v="129"/>
    <x v="129"/>
    <x v="129"/>
    <x v="0"/>
    <x v="1"/>
    <s v="Draw once season talk forward. Decision partner north realize finish one question."/>
    <s v="Medium"/>
    <x v="4"/>
    <n v="1.9435833680545329"/>
  </r>
  <r>
    <x v="130"/>
    <x v="130"/>
    <x v="130"/>
    <x v="6"/>
    <x v="6"/>
    <s v="Catch travel form bar pretty himself team. Light suffer evidence land ok may guy."/>
    <s v="Low"/>
    <x v="3"/>
    <n v="1.8214556481470936"/>
  </r>
  <r>
    <x v="131"/>
    <x v="131"/>
    <x v="131"/>
    <x v="6"/>
    <x v="2"/>
    <s v="Act believe heavy watch best game part. Too language mean. Cut age personal resource."/>
    <s v="Low"/>
    <x v="6"/>
    <n v="3.8684753009292763"/>
  </r>
  <r>
    <x v="132"/>
    <x v="132"/>
    <x v="132"/>
    <x v="0"/>
    <x v="7"/>
    <s v="Year name message voice data. Protect word up today. Break drop already life."/>
    <s v="Low"/>
    <x v="6"/>
    <n v="3.4774506481480785"/>
  </r>
  <r>
    <x v="133"/>
    <x v="133"/>
    <x v="133"/>
    <x v="3"/>
    <x v="3"/>
    <s v="I'm locked out of my account and can't reset my password. Maintain tree story research hair why."/>
    <s v="High"/>
    <x v="1"/>
    <n v="0.41527189814951271"/>
  </r>
  <r>
    <x v="134"/>
    <x v="134"/>
    <x v="134"/>
    <x v="0"/>
    <x v="5"/>
    <s v="Memory process group arm attack indicate mother. View three prepare by."/>
    <s v="Low"/>
    <x v="0"/>
    <n v="6.9831930555592407"/>
  </r>
  <r>
    <x v="135"/>
    <x v="135"/>
    <x v="135"/>
    <x v="5"/>
    <x v="6"/>
    <s v="Foreign sign be money cup raise keep. Right scene market."/>
    <s v="Low"/>
    <x v="5"/>
    <n v="4.7840121643530438"/>
  </r>
  <r>
    <x v="136"/>
    <x v="136"/>
    <x v="136"/>
    <x v="2"/>
    <x v="6"/>
    <s v="My laptop's keyboard isn't working properly, some keys are stuck. Certain six among before."/>
    <s v="Low"/>
    <x v="6"/>
    <n v="3.2479806828705478"/>
  </r>
  <r>
    <x v="137"/>
    <x v="137"/>
    <x v="137"/>
    <x v="2"/>
    <x v="1"/>
    <s v="My laptop's keyboard isn't working properly, some keys are stuck. Ago his against point garden drug."/>
    <s v="Low"/>
    <x v="6"/>
    <n v="1.5849013888946502"/>
  </r>
  <r>
    <x v="138"/>
    <x v="138"/>
    <x v="138"/>
    <x v="1"/>
    <x v="0"/>
    <s v="Application X is crashing every time I open it. Any state food citizen."/>
    <s v="Medium"/>
    <x v="5"/>
    <n v="0.97112104166444624"/>
  </r>
  <r>
    <x v="139"/>
    <x v="139"/>
    <x v="139"/>
    <x v="4"/>
    <x v="6"/>
    <s v="Can't connect to the Wi-Fi. It's showing 'No internet access'. He particularly begin save area finally word."/>
    <s v="Low"/>
    <x v="2"/>
    <n v="5.8234886574064149"/>
  </r>
  <r>
    <x v="140"/>
    <x v="140"/>
    <x v="140"/>
    <x v="2"/>
    <x v="8"/>
    <s v="My laptop's keyboard isn't working properly, some keys are stuck. Serious simply mind cost movie actually."/>
    <s v="Medium"/>
    <x v="5"/>
    <n v="0.61989549768622965"/>
  </r>
  <r>
    <x v="141"/>
    <x v="141"/>
    <x v="141"/>
    <x v="2"/>
    <x v="0"/>
    <s v="My laptop's keyboard isn't working properly, some keys are stuck. Social approach mother white."/>
    <s v="Medium"/>
    <x v="1"/>
    <n v="0.53618780092074303"/>
  </r>
  <r>
    <x v="142"/>
    <x v="142"/>
    <x v="142"/>
    <x v="4"/>
    <x v="4"/>
    <s v="Can't connect to the Wi-Fi. It's showing 'No internet access'. Enter room up sound nature."/>
    <s v="Medium"/>
    <x v="4"/>
    <n v="1.2180552199060912"/>
  </r>
  <r>
    <x v="143"/>
    <x v="143"/>
    <x v="143"/>
    <x v="2"/>
    <x v="3"/>
    <s v="My laptop's keyboard isn't working properly, some keys are stuck. Effort to since question."/>
    <s v="Low"/>
    <x v="6"/>
    <n v="3.6667418981451192"/>
  </r>
  <r>
    <x v="144"/>
    <x v="144"/>
    <x v="144"/>
    <x v="1"/>
    <x v="8"/>
    <s v="Application X is crashing every time I open it. These drive president building."/>
    <s v="Medium"/>
    <x v="0"/>
    <n v="0.50956079860770842"/>
  </r>
  <r>
    <x v="145"/>
    <x v="145"/>
    <x v="145"/>
    <x v="6"/>
    <x v="3"/>
    <s v="Suddenly effort she without without."/>
    <s v="Critical"/>
    <x v="6"/>
    <n v="8.373768518504221E-2"/>
  </r>
  <r>
    <x v="146"/>
    <x v="146"/>
    <x v="146"/>
    <x v="4"/>
    <x v="6"/>
    <s v="Can't connect to the Wi-Fi. It's showing 'No internet access'. Should that nation can difficult nice."/>
    <s v="High"/>
    <x v="5"/>
    <n v="0.32705649305717088"/>
  </r>
  <r>
    <x v="147"/>
    <x v="147"/>
    <x v="147"/>
    <x v="5"/>
    <x v="3"/>
    <s v="Look scene real owner agent whose specific. Along they yourself character year or behind."/>
    <s v="Low"/>
    <x v="5"/>
    <n v="3.5030886111053405"/>
  </r>
  <r>
    <x v="148"/>
    <x v="148"/>
    <x v="148"/>
    <x v="0"/>
    <x v="7"/>
    <s v="You reflect radio. Especially speech wish interesting wife."/>
    <s v="Medium"/>
    <x v="3"/>
    <n v="1.1027523495358764"/>
  </r>
  <r>
    <x v="149"/>
    <x v="149"/>
    <x v="149"/>
    <x v="2"/>
    <x v="0"/>
    <s v="My laptop's keyboard isn't working properly, some keys are stuck. Event pattern factor deep manager work."/>
    <s v="Medium"/>
    <x v="2"/>
    <n v="1.0005387268538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3AF27A-A5E2-40B9-94BD-2ED7F0B705EE}"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I9" firstHeaderRow="1" firstDataRow="2" firstDataCol="1"/>
  <pivotFields count="11">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Col" showAll="0">
      <items count="8">
        <item x="1"/>
        <item x="5"/>
        <item x="3"/>
        <item x="2"/>
        <item x="0"/>
        <item x="4"/>
        <item x="6"/>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s>
  <rowFields count="2">
    <field x="9"/>
    <field x="1"/>
  </rowFields>
  <rowItems count="5">
    <i>
      <x v="6"/>
    </i>
    <i>
      <x v="7"/>
    </i>
    <i>
      <x v="8"/>
    </i>
    <i>
      <x v="9"/>
    </i>
    <i t="grand">
      <x/>
    </i>
  </rowItems>
  <colFields count="1">
    <field x="7"/>
  </colFields>
  <colItems count="8">
    <i>
      <x/>
    </i>
    <i>
      <x v="1"/>
    </i>
    <i>
      <x v="2"/>
    </i>
    <i>
      <x v="3"/>
    </i>
    <i>
      <x v="4"/>
    </i>
    <i>
      <x v="5"/>
    </i>
    <i>
      <x v="6"/>
    </i>
    <i t="grand">
      <x/>
    </i>
  </colItems>
  <dataFields count="1">
    <dataField name="Count of ticket_id" fld="0" subtotal="count" baseField="0" baseItem="0"/>
  </dataFields>
  <chartFormats count="1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2" format="14" series="1">
      <pivotArea type="data" outline="0" fieldPosition="0">
        <references count="2">
          <reference field="4294967294" count="1" selected="0">
            <x v="0"/>
          </reference>
          <reference field="7" count="1" selected="0">
            <x v="0"/>
          </reference>
        </references>
      </pivotArea>
    </chartFormat>
    <chartFormat chart="2" format="15" series="1">
      <pivotArea type="data" outline="0" fieldPosition="0">
        <references count="2">
          <reference field="4294967294" count="1" selected="0">
            <x v="0"/>
          </reference>
          <reference field="7" count="1" selected="0">
            <x v="1"/>
          </reference>
        </references>
      </pivotArea>
    </chartFormat>
    <chartFormat chart="2" format="16" series="1">
      <pivotArea type="data" outline="0" fieldPosition="0">
        <references count="2">
          <reference field="4294967294" count="1" selected="0">
            <x v="0"/>
          </reference>
          <reference field="7" count="1" selected="0">
            <x v="2"/>
          </reference>
        </references>
      </pivotArea>
    </chartFormat>
    <chartFormat chart="2" format="17" series="1">
      <pivotArea type="data" outline="0" fieldPosition="0">
        <references count="2">
          <reference field="4294967294" count="1" selected="0">
            <x v="0"/>
          </reference>
          <reference field="7" count="1" selected="0">
            <x v="3"/>
          </reference>
        </references>
      </pivotArea>
    </chartFormat>
    <chartFormat chart="2" format="18" series="1">
      <pivotArea type="data" outline="0" fieldPosition="0">
        <references count="2">
          <reference field="4294967294" count="1" selected="0">
            <x v="0"/>
          </reference>
          <reference field="7" count="1" selected="0">
            <x v="4"/>
          </reference>
        </references>
      </pivotArea>
    </chartFormat>
    <chartFormat chart="2" format="19" series="1">
      <pivotArea type="data" outline="0" fieldPosition="0">
        <references count="2">
          <reference field="4294967294" count="1" selected="0">
            <x v="0"/>
          </reference>
          <reference field="7" count="1" selected="0">
            <x v="5"/>
          </reference>
        </references>
      </pivotArea>
    </chartFormat>
    <chartFormat chart="2" format="20" series="1">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140F4E-8851-4DDC-9075-3DAD2DE87EEF}"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1" firstHeaderRow="1" firstDataRow="1" firstDataCol="1"/>
  <pivotFields count="11">
    <pivotField showAll="0"/>
    <pivotField numFmtId="22"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8">
        <item x="3"/>
        <item x="6"/>
        <item x="2"/>
        <item x="4"/>
        <item x="0"/>
        <item x="5"/>
        <item x="1"/>
        <item t="default"/>
      </items>
    </pivotField>
    <pivotField showAll="0"/>
    <pivotField showAll="0"/>
    <pivotField showAll="0"/>
    <pivotField showAll="0"/>
    <pivotField dataField="1" showAll="0"/>
    <pivotField showAll="0" defaultSubtotal="0"/>
    <pivotField showAll="0">
      <items count="15">
        <item x="0"/>
        <item x="1"/>
        <item x="2"/>
        <item x="3"/>
        <item x="4"/>
        <item x="5"/>
        <item x="6"/>
        <item x="7"/>
        <item x="8"/>
        <item x="9"/>
        <item x="10"/>
        <item x="11"/>
        <item x="12"/>
        <item x="13"/>
        <item t="default"/>
      </items>
    </pivotField>
  </pivotFields>
  <rowFields count="1">
    <field x="3"/>
  </rowFields>
  <rowItems count="8">
    <i>
      <x/>
    </i>
    <i>
      <x v="1"/>
    </i>
    <i>
      <x v="2"/>
    </i>
    <i>
      <x v="3"/>
    </i>
    <i>
      <x v="4"/>
    </i>
    <i>
      <x v="5"/>
    </i>
    <i>
      <x v="6"/>
    </i>
    <i t="grand">
      <x/>
    </i>
  </rowItems>
  <colItems count="1">
    <i/>
  </colItems>
  <dataFields count="1">
    <dataField name="Average of Resolution_time" fld="8" subtotal="average" baseField="3"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 count="1" selected="0">
            <x v="0"/>
          </reference>
        </references>
      </pivotArea>
    </chartFormat>
    <chartFormat chart="2" format="18">
      <pivotArea type="data" outline="0" fieldPosition="0">
        <references count="2">
          <reference field="4294967294" count="1" selected="0">
            <x v="0"/>
          </reference>
          <reference field="3" count="1" selected="0">
            <x v="1"/>
          </reference>
        </references>
      </pivotArea>
    </chartFormat>
    <chartFormat chart="2" format="19">
      <pivotArea type="data" outline="0" fieldPosition="0">
        <references count="2">
          <reference field="4294967294" count="1" selected="0">
            <x v="0"/>
          </reference>
          <reference field="3" count="1" selected="0">
            <x v="2"/>
          </reference>
        </references>
      </pivotArea>
    </chartFormat>
    <chartFormat chart="2" format="20">
      <pivotArea type="data" outline="0" fieldPosition="0">
        <references count="2">
          <reference field="4294967294" count="1" selected="0">
            <x v="0"/>
          </reference>
          <reference field="3" count="1" selected="0">
            <x v="3"/>
          </reference>
        </references>
      </pivotArea>
    </chartFormat>
    <chartFormat chart="2" format="21">
      <pivotArea type="data" outline="0" fieldPosition="0">
        <references count="2">
          <reference field="4294967294" count="1" selected="0">
            <x v="0"/>
          </reference>
          <reference field="3" count="1" selected="0">
            <x v="4"/>
          </reference>
        </references>
      </pivotArea>
    </chartFormat>
    <chartFormat chart="2" format="22">
      <pivotArea type="data" outline="0" fieldPosition="0">
        <references count="2">
          <reference field="4294967294" count="1" selected="0">
            <x v="0"/>
          </reference>
          <reference field="3" count="1" selected="0">
            <x v="5"/>
          </reference>
        </references>
      </pivotArea>
    </chartFormat>
    <chartFormat chart="2" format="2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0EE651-92E4-42E5-BCA3-FF543ED35FAD}"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8" firstHeaderRow="1" firstDataRow="1" firstDataCol="1"/>
  <pivotFields count="11">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2"/>
  </rowFields>
  <rowItems count="5">
    <i>
      <x v="6"/>
    </i>
    <i>
      <x v="7"/>
    </i>
    <i>
      <x v="8"/>
    </i>
    <i>
      <x v="9"/>
    </i>
    <i t="grand">
      <x/>
    </i>
  </rowItems>
  <colItems count="1">
    <i/>
  </colItems>
  <dataFields count="1">
    <dataField name="Count of ticke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343CD9-CCFB-4324-9304-51438F2A84AE}"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4" firstHeaderRow="0" firstDataRow="1" firstDataCol="1"/>
  <pivotFields count="11">
    <pivotField dataField="1" showAll="0"/>
    <pivotField numFmtId="22" showAll="0"/>
    <pivotField numFmtId="22" showAll="0"/>
    <pivotField showAll="0"/>
    <pivotField axis="axisRow" showAll="0">
      <items count="11">
        <item x="7"/>
        <item x="6"/>
        <item x="5"/>
        <item x="3"/>
        <item x="4"/>
        <item x="9"/>
        <item x="8"/>
        <item x="2"/>
        <item x="1"/>
        <item x="0"/>
        <item t="default"/>
      </items>
    </pivotField>
    <pivotField showAll="0"/>
    <pivotField showAll="0"/>
    <pivotField showAll="0"/>
    <pivotField dataField="1" showAll="0"/>
    <pivotField showAll="0" defaultSubtotal="0"/>
    <pivotField showAll="0" defaultSubtotal="0"/>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Average of Resolution_time" fld="8" subtotal="average" baseField="4" baseItem="0"/>
    <dataField name="Count of ticket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63FC60-878D-48E2-83FF-C2A0A2E3C368}" autoFormatId="16" applyNumberFormats="0" applyBorderFormats="0" applyFontFormats="0" applyPatternFormats="0" applyAlignmentFormats="0" applyWidthHeightFormats="0">
  <queryTableRefresh nextId="11" unboundColumnsRight="1">
    <queryTableFields count="9">
      <queryTableField id="1" name="ticket_id" tableColumnId="1"/>
      <queryTableField id="2" name="submission_date" tableColumnId="2"/>
      <queryTableField id="3" name="resolution_date" tableColumnId="3"/>
      <queryTableField id="4" name="category" tableColumnId="4"/>
      <queryTableField id="5" name="assigned_analyst" tableColumnId="5"/>
      <queryTableField id="6" name="description" tableColumnId="6"/>
      <queryTableField id="7" name="priority" tableColumnId="7"/>
      <queryTableField id="8" name="Day of Week" tableColumnId="8"/>
      <queryTableField id="10" dataBound="0" tableColumnId="10"/>
    </queryTableFields>
    <queryTableDeletedFields count="1">
      <deletedField name="Resolution Ti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_id" xr10:uid="{E2B169F7-58B4-4592-A7E2-E9AA00F4B02A}" sourceName="ticket_id">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11A9D6-BFB2-42F1-A31B-50C95A7F992C}" sourceName="category">
  <extLst>
    <x:ext xmlns:x15="http://schemas.microsoft.com/office/spreadsheetml/2010/11/main" uri="{2F2917AC-EB37-4324-AD4E-5DD8C200BD13}">
      <x15:tableSlicerCache tableId="3"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t_id" xr10:uid="{02EF619D-155F-4578-AD40-6153EA869059}" cache="Slicer_ticket_id" caption="ticket_id" rowHeight="241300"/>
  <slicer name="category" xr10:uid="{3928BEFB-851E-4857-90D9-BECC7813D8AE}" cache="Slicer_category" caption="categor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1F4BE1-16E8-4130-8DC5-130D38C41FAE}" name="Table2" displayName="Table2" ref="A1:I151" totalsRowShown="0" headerRowDxfId="14" dataDxfId="13" tableBorderDxfId="12">
  <autoFilter ref="A1:I151" xr:uid="{B5380CF3-7CAA-434E-BFDA-0955B3A53DBB}"/>
  <tableColumns count="9">
    <tableColumn id="1" xr3:uid="{83198690-2C31-4AA4-816E-B6482E5EF28F}" name="ticket_id" dataDxfId="11"/>
    <tableColumn id="2" xr3:uid="{A68445FB-D458-4C00-8E7A-F372360223AE}" name="submission_date" dataDxfId="10"/>
    <tableColumn id="3" xr3:uid="{B343E081-7884-441A-A2FB-8443A2D18BA6}" name="resolution_date" dataDxfId="9"/>
    <tableColumn id="4" xr3:uid="{C9307FC4-44E3-40BE-99E9-0FF706FA83A9}" name="category" dataDxfId="8"/>
    <tableColumn id="5" xr3:uid="{BACC3536-7204-4BC8-80CD-70026BD0C719}" name="assigned_analyst" dataDxfId="7"/>
    <tableColumn id="6" xr3:uid="{26EEC552-9652-43A6-B38E-40B3A049EF10}" name="description" dataDxfId="6"/>
    <tableColumn id="7" xr3:uid="{7072BF8B-D1F1-48DA-8942-7A0781397C10}" name="priority" dataDxfId="5"/>
    <tableColumn id="8" xr3:uid="{76111FB0-9A4B-4EED-A3FB-A84B7FE90498}" name="Day of Week" dataDxfId="4">
      <calculatedColumnFormula>TEXT(Table2[[#This Row],[submission_date]],"dddd")</calculatedColumnFormula>
    </tableColumn>
    <tableColumn id="9" xr3:uid="{EFD163E3-42CB-4314-9B5F-0FE201E8EF90}" name="Resolution Time" dataDxfId="3">
      <calculatedColumnFormula>Table2[[#This Row],[resolution_date]]-Table2[[#This Row],[submission_date]]</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1BC245-FFD0-4A9A-80D5-15A7B88E65D4}" name="Table2_2" displayName="Table2_2" ref="A1:I151" tableType="queryTable" totalsRowShown="0">
  <autoFilter ref="A1:I151" xr:uid="{368A037F-B882-4505-ABF4-E910D9C436D4}"/>
  <tableColumns count="9">
    <tableColumn id="1" xr3:uid="{2E1577F2-0E67-47F9-A66E-0B216857DDE0}" uniqueName="1" name="ticket_id" queryTableFieldId="1"/>
    <tableColumn id="2" xr3:uid="{A01211BA-050B-4C79-9763-33EE4DACCBCB}" uniqueName="2" name="submission_date" queryTableFieldId="2" dataDxfId="2"/>
    <tableColumn id="3" xr3:uid="{654BC7C5-0C52-477D-BFA4-D39820F69C1E}" uniqueName="3" name="resolution_date" queryTableFieldId="3" dataDxfId="1"/>
    <tableColumn id="4" xr3:uid="{398CC684-D313-4B98-91F4-F3DEA59ACFBF}" uniqueName="4" name="category" queryTableFieldId="4"/>
    <tableColumn id="5" xr3:uid="{0E4B128B-62C9-4687-8DF2-462C474E7755}" uniqueName="5" name="assigned_analyst" queryTableFieldId="5"/>
    <tableColumn id="6" xr3:uid="{15DA906A-A389-4523-B84E-41F227A54B67}" uniqueName="6" name="description" queryTableFieldId="6"/>
    <tableColumn id="7" xr3:uid="{AEF0CF12-B2CD-4656-9869-370FEEE66215}" uniqueName="7" name="priority" queryTableFieldId="7"/>
    <tableColumn id="8" xr3:uid="{48FA669F-8FBE-4DCE-B17B-E5162366F273}" uniqueName="8" name="Day of Week" queryTableFieldId="8"/>
    <tableColumn id="10" xr3:uid="{B156EECF-9925-49C8-A01F-5DDC6BD27CB7}" uniqueName="10" name="Resolution_time" queryTableFieldId="10" dataDxfId="0">
      <calculatedColumnFormula>Table2_2[[#This Row],[resolution_date]]-Table2_2[[#This Row],[submission_date]]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D023-5B5A-4B99-8A21-9D8C95596653}">
  <dimension ref="A1:I151"/>
  <sheetViews>
    <sheetView workbookViewId="0">
      <selection activeCell="A2" sqref="A2:I151"/>
    </sheetView>
  </sheetViews>
  <sheetFormatPr defaultRowHeight="14.5" x14ac:dyDescent="0.35"/>
  <cols>
    <col min="1" max="1" width="11.08984375" bestFit="1" customWidth="1"/>
    <col min="2" max="2" width="22" customWidth="1"/>
    <col min="3" max="3" width="19.1796875" customWidth="1"/>
    <col min="4" max="4" width="10.26953125" bestFit="1" customWidth="1"/>
    <col min="5" max="5" width="17.36328125" bestFit="1" customWidth="1"/>
    <col min="6" max="6" width="100.36328125" bestFit="1" customWidth="1"/>
    <col min="7" max="7" width="9.26953125" bestFit="1" customWidth="1"/>
    <col min="8" max="8" width="13.7265625" bestFit="1" customWidth="1"/>
    <col min="9" max="9" width="16.6328125" bestFit="1" customWidth="1"/>
  </cols>
  <sheetData>
    <row r="1" spans="1:9" x14ac:dyDescent="0.35">
      <c r="A1" s="4" t="s">
        <v>0</v>
      </c>
      <c r="B1" s="4" t="s">
        <v>1</v>
      </c>
      <c r="C1" s="4" t="s">
        <v>2</v>
      </c>
      <c r="D1" s="4" t="s">
        <v>3</v>
      </c>
      <c r="E1" s="4" t="s">
        <v>4</v>
      </c>
      <c r="F1" s="4" t="s">
        <v>5</v>
      </c>
      <c r="G1" s="4" t="s">
        <v>6</v>
      </c>
      <c r="H1" s="9" t="s">
        <v>335</v>
      </c>
      <c r="I1" s="9" t="s">
        <v>336</v>
      </c>
    </row>
    <row r="2" spans="1:9" x14ac:dyDescent="0.35">
      <c r="A2" s="5" t="s">
        <v>7</v>
      </c>
      <c r="B2" s="6">
        <v>45835.941851550924</v>
      </c>
      <c r="C2" s="6">
        <v>45836.157414861111</v>
      </c>
      <c r="D2" s="5" t="s">
        <v>8</v>
      </c>
      <c r="E2" s="5" t="s">
        <v>9</v>
      </c>
      <c r="F2" s="5" t="s">
        <v>10</v>
      </c>
      <c r="G2" s="5" t="s">
        <v>11</v>
      </c>
      <c r="H2" s="8" t="str">
        <f>TEXT(Table2[[#This Row],[submission_date]],"dddd")</f>
        <v>Friday</v>
      </c>
      <c r="I2" s="8">
        <f>Table2[[#This Row],[resolution_date]]-Table2[[#This Row],[submission_date]]</f>
        <v>0.21556331018655328</v>
      </c>
    </row>
    <row r="3" spans="1:9" x14ac:dyDescent="0.35">
      <c r="A3" s="5" t="s">
        <v>12</v>
      </c>
      <c r="B3" s="6">
        <v>45901.811099571758</v>
      </c>
      <c r="C3" s="6">
        <v>45903.304233009258</v>
      </c>
      <c r="D3" s="5" t="s">
        <v>13</v>
      </c>
      <c r="E3" s="5" t="s">
        <v>14</v>
      </c>
      <c r="F3" s="5" t="s">
        <v>15</v>
      </c>
      <c r="G3" s="5" t="s">
        <v>16</v>
      </c>
      <c r="H3" s="8" t="str">
        <f>TEXT(Table2[[#This Row],[submission_date]],"dddd")</f>
        <v>Monday</v>
      </c>
      <c r="I3" s="8">
        <f>Table2[[#This Row],[resolution_date]]-Table2[[#This Row],[submission_date]]</f>
        <v>1.4931334374996368</v>
      </c>
    </row>
    <row r="4" spans="1:9" x14ac:dyDescent="0.35">
      <c r="A4" s="5" t="s">
        <v>17</v>
      </c>
      <c r="B4" s="6">
        <v>45904.397251620372</v>
      </c>
      <c r="C4" s="6">
        <v>45905.993478182871</v>
      </c>
      <c r="D4" s="5" t="s">
        <v>8</v>
      </c>
      <c r="E4" s="5" t="s">
        <v>18</v>
      </c>
      <c r="F4" s="5" t="s">
        <v>19</v>
      </c>
      <c r="G4" s="5" t="s">
        <v>16</v>
      </c>
      <c r="H4" s="8" t="str">
        <f>TEXT(Table2[[#This Row],[submission_date]],"dddd")</f>
        <v>Thursday</v>
      </c>
      <c r="I4" s="8">
        <f>Table2[[#This Row],[resolution_date]]-Table2[[#This Row],[submission_date]]</f>
        <v>1.5962265624984866</v>
      </c>
    </row>
    <row r="5" spans="1:9" x14ac:dyDescent="0.35">
      <c r="A5" s="5" t="s">
        <v>20</v>
      </c>
      <c r="B5" s="6">
        <v>45866.74136521991</v>
      </c>
      <c r="C5" s="6">
        <v>45867.068278460647</v>
      </c>
      <c r="D5" s="5" t="s">
        <v>21</v>
      </c>
      <c r="E5" s="5" t="s">
        <v>22</v>
      </c>
      <c r="F5" s="5" t="s">
        <v>23</v>
      </c>
      <c r="G5" s="5" t="s">
        <v>11</v>
      </c>
      <c r="H5" s="8" t="str">
        <f>TEXT(Table2[[#This Row],[submission_date]],"dddd")</f>
        <v>Monday</v>
      </c>
      <c r="I5" s="8">
        <f>Table2[[#This Row],[resolution_date]]-Table2[[#This Row],[submission_date]]</f>
        <v>0.32691324073675787</v>
      </c>
    </row>
    <row r="6" spans="1:9" x14ac:dyDescent="0.35">
      <c r="A6" s="5" t="s">
        <v>24</v>
      </c>
      <c r="B6" s="6">
        <v>45903.907044259257</v>
      </c>
      <c r="C6" s="6">
        <v>45904.286888356481</v>
      </c>
      <c r="D6" s="5" t="s">
        <v>13</v>
      </c>
      <c r="E6" s="5" t="s">
        <v>25</v>
      </c>
      <c r="F6" s="5" t="s">
        <v>26</v>
      </c>
      <c r="G6" s="5" t="s">
        <v>11</v>
      </c>
      <c r="H6" s="8" t="str">
        <f>TEXT(Table2[[#This Row],[submission_date]],"dddd")</f>
        <v>Wednesday</v>
      </c>
      <c r="I6" s="8">
        <f>Table2[[#This Row],[resolution_date]]-Table2[[#This Row],[submission_date]]</f>
        <v>0.37984409722412238</v>
      </c>
    </row>
    <row r="7" spans="1:9" x14ac:dyDescent="0.35">
      <c r="A7" s="5" t="s">
        <v>27</v>
      </c>
      <c r="B7" s="6">
        <v>45873.856022060187</v>
      </c>
      <c r="C7" s="6">
        <v>45879.411592372686</v>
      </c>
      <c r="D7" s="5" t="s">
        <v>13</v>
      </c>
      <c r="E7" s="5" t="s">
        <v>18</v>
      </c>
      <c r="F7" s="5" t="s">
        <v>28</v>
      </c>
      <c r="G7" s="5" t="s">
        <v>29</v>
      </c>
      <c r="H7" s="8" t="str">
        <f>TEXT(Table2[[#This Row],[submission_date]],"dddd")</f>
        <v>Monday</v>
      </c>
      <c r="I7" s="8">
        <f>Table2[[#This Row],[resolution_date]]-Table2[[#This Row],[submission_date]]</f>
        <v>5.5555703124991851</v>
      </c>
    </row>
    <row r="8" spans="1:9" x14ac:dyDescent="0.35">
      <c r="A8" s="5" t="s">
        <v>30</v>
      </c>
      <c r="B8" s="6">
        <v>45891.443237013889</v>
      </c>
      <c r="C8" s="6">
        <v>45892.591544884257</v>
      </c>
      <c r="D8" s="5" t="s">
        <v>31</v>
      </c>
      <c r="E8" s="5" t="s">
        <v>32</v>
      </c>
      <c r="F8" s="5" t="s">
        <v>33</v>
      </c>
      <c r="G8" s="5" t="s">
        <v>29</v>
      </c>
      <c r="H8" s="8" t="str">
        <f>TEXT(Table2[[#This Row],[submission_date]],"dddd")</f>
        <v>Friday</v>
      </c>
      <c r="I8" s="8">
        <f>Table2[[#This Row],[resolution_date]]-Table2[[#This Row],[submission_date]]</f>
        <v>1.1483078703677165</v>
      </c>
    </row>
    <row r="9" spans="1:9" x14ac:dyDescent="0.35">
      <c r="A9" s="5" t="s">
        <v>34</v>
      </c>
      <c r="B9" s="6">
        <v>45843.321851516201</v>
      </c>
      <c r="C9" s="6">
        <v>45847.851614560182</v>
      </c>
      <c r="D9" s="5" t="s">
        <v>13</v>
      </c>
      <c r="E9" s="5" t="s">
        <v>35</v>
      </c>
      <c r="F9" s="5" t="s">
        <v>36</v>
      </c>
      <c r="G9" s="5" t="s">
        <v>29</v>
      </c>
      <c r="H9" s="8" t="str">
        <f>TEXT(Table2[[#This Row],[submission_date]],"dddd")</f>
        <v>Saturday</v>
      </c>
      <c r="I9" s="8">
        <f>Table2[[#This Row],[resolution_date]]-Table2[[#This Row],[submission_date]]</f>
        <v>4.5297630439818022</v>
      </c>
    </row>
    <row r="10" spans="1:9" x14ac:dyDescent="0.35">
      <c r="A10" s="5" t="s">
        <v>37</v>
      </c>
      <c r="B10" s="6">
        <v>45845.695295972226</v>
      </c>
      <c r="C10" s="6">
        <v>45846.419769224536</v>
      </c>
      <c r="D10" s="5" t="s">
        <v>21</v>
      </c>
      <c r="E10" s="5" t="s">
        <v>35</v>
      </c>
      <c r="F10" s="5" t="s">
        <v>38</v>
      </c>
      <c r="G10" s="5" t="s">
        <v>16</v>
      </c>
      <c r="H10" s="8" t="str">
        <f>TEXT(Table2[[#This Row],[submission_date]],"dddd")</f>
        <v>Monday</v>
      </c>
      <c r="I10" s="8">
        <f>Table2[[#This Row],[resolution_date]]-Table2[[#This Row],[submission_date]]</f>
        <v>0.72447325231041759</v>
      </c>
    </row>
    <row r="11" spans="1:9" x14ac:dyDescent="0.35">
      <c r="A11" s="5" t="s">
        <v>39</v>
      </c>
      <c r="B11" s="6">
        <v>45910.617740428243</v>
      </c>
      <c r="C11" s="6">
        <v>45911.83237329861</v>
      </c>
      <c r="D11" s="5" t="s">
        <v>13</v>
      </c>
      <c r="E11" s="5" t="s">
        <v>18</v>
      </c>
      <c r="F11" s="5" t="s">
        <v>40</v>
      </c>
      <c r="G11" s="5" t="s">
        <v>16</v>
      </c>
      <c r="H11" s="8" t="str">
        <f>TEXT(Table2[[#This Row],[submission_date]],"dddd")</f>
        <v>Wednesday</v>
      </c>
      <c r="I11" s="8">
        <f>Table2[[#This Row],[resolution_date]]-Table2[[#This Row],[submission_date]]</f>
        <v>1.2146328703674953</v>
      </c>
    </row>
    <row r="12" spans="1:9" x14ac:dyDescent="0.35">
      <c r="A12" s="5" t="s">
        <v>41</v>
      </c>
      <c r="B12" s="6">
        <v>45896.555576689818</v>
      </c>
      <c r="C12" s="6">
        <v>45902.686473993053</v>
      </c>
      <c r="D12" s="5" t="s">
        <v>13</v>
      </c>
      <c r="E12" s="5" t="s">
        <v>42</v>
      </c>
      <c r="F12" s="5" t="s">
        <v>43</v>
      </c>
      <c r="G12" s="5" t="s">
        <v>29</v>
      </c>
      <c r="H12" s="8" t="str">
        <f>TEXT(Table2[[#This Row],[submission_date]],"dddd")</f>
        <v>Wednesday</v>
      </c>
      <c r="I12" s="8">
        <f>Table2[[#This Row],[resolution_date]]-Table2[[#This Row],[submission_date]]</f>
        <v>6.1308973032355425</v>
      </c>
    </row>
    <row r="13" spans="1:9" x14ac:dyDescent="0.35">
      <c r="A13" s="5" t="s">
        <v>44</v>
      </c>
      <c r="B13" s="6">
        <v>45832.080772222223</v>
      </c>
      <c r="C13" s="6">
        <v>45832.240656608796</v>
      </c>
      <c r="D13" s="5" t="s">
        <v>45</v>
      </c>
      <c r="E13" s="5" t="s">
        <v>46</v>
      </c>
      <c r="F13" s="5" t="s">
        <v>47</v>
      </c>
      <c r="G13" s="5" t="s">
        <v>11</v>
      </c>
      <c r="H13" s="8" t="str">
        <f>TEXT(Table2[[#This Row],[submission_date]],"dddd")</f>
        <v>Tuesday</v>
      </c>
      <c r="I13" s="8">
        <f>Table2[[#This Row],[resolution_date]]-Table2[[#This Row],[submission_date]]</f>
        <v>0.15988438657223014</v>
      </c>
    </row>
    <row r="14" spans="1:9" x14ac:dyDescent="0.35">
      <c r="A14" s="5" t="s">
        <v>48</v>
      </c>
      <c r="B14" s="6">
        <v>45836.410961250003</v>
      </c>
      <c r="C14" s="6">
        <v>45837.124087824071</v>
      </c>
      <c r="D14" s="5" t="s">
        <v>45</v>
      </c>
      <c r="E14" s="5" t="s">
        <v>9</v>
      </c>
      <c r="F14" s="5" t="s">
        <v>49</v>
      </c>
      <c r="G14" s="5" t="s">
        <v>16</v>
      </c>
      <c r="H14" s="8" t="str">
        <f>TEXT(Table2[[#This Row],[submission_date]],"dddd")</f>
        <v>Saturday</v>
      </c>
      <c r="I14" s="8">
        <f>Table2[[#This Row],[resolution_date]]-Table2[[#This Row],[submission_date]]</f>
        <v>0.71312657406815561</v>
      </c>
    </row>
    <row r="15" spans="1:9" x14ac:dyDescent="0.35">
      <c r="A15" s="5" t="s">
        <v>50</v>
      </c>
      <c r="B15" s="6">
        <v>45860.381175960647</v>
      </c>
      <c r="C15" s="6">
        <v>45864.663007314812</v>
      </c>
      <c r="D15" s="5" t="s">
        <v>13</v>
      </c>
      <c r="E15" s="5" t="s">
        <v>35</v>
      </c>
      <c r="F15" s="5" t="s">
        <v>51</v>
      </c>
      <c r="G15" s="5" t="s">
        <v>29</v>
      </c>
      <c r="H15" s="8" t="str">
        <f>TEXT(Table2[[#This Row],[submission_date]],"dddd")</f>
        <v>Tuesday</v>
      </c>
      <c r="I15" s="8">
        <f>Table2[[#This Row],[resolution_date]]-Table2[[#This Row],[submission_date]]</f>
        <v>4.2818313541647512</v>
      </c>
    </row>
    <row r="16" spans="1:9" x14ac:dyDescent="0.35">
      <c r="A16" s="5" t="s">
        <v>52</v>
      </c>
      <c r="B16" s="6">
        <v>45847.939561203704</v>
      </c>
      <c r="C16" s="6">
        <v>45848.049673634261</v>
      </c>
      <c r="D16" s="5" t="s">
        <v>13</v>
      </c>
      <c r="E16" s="5" t="s">
        <v>14</v>
      </c>
      <c r="F16" s="5" t="s">
        <v>53</v>
      </c>
      <c r="G16" s="5" t="s">
        <v>11</v>
      </c>
      <c r="H16" s="8" t="str">
        <f>TEXT(Table2[[#This Row],[submission_date]],"dddd")</f>
        <v>Wednesday</v>
      </c>
      <c r="I16" s="8">
        <f>Table2[[#This Row],[resolution_date]]-Table2[[#This Row],[submission_date]]</f>
        <v>0.11011243055691011</v>
      </c>
    </row>
    <row r="17" spans="1:9" x14ac:dyDescent="0.35">
      <c r="A17" s="5" t="s">
        <v>54</v>
      </c>
      <c r="B17" s="6">
        <v>45861.940402638887</v>
      </c>
      <c r="C17" s="6">
        <v>45862.05557290509</v>
      </c>
      <c r="D17" s="5" t="s">
        <v>13</v>
      </c>
      <c r="E17" s="5" t="s">
        <v>55</v>
      </c>
      <c r="F17" s="5" t="s">
        <v>56</v>
      </c>
      <c r="G17" s="5" t="s">
        <v>11</v>
      </c>
      <c r="H17" s="8" t="str">
        <f>TEXT(Table2[[#This Row],[submission_date]],"dddd")</f>
        <v>Wednesday</v>
      </c>
      <c r="I17" s="8">
        <f>Table2[[#This Row],[resolution_date]]-Table2[[#This Row],[submission_date]]</f>
        <v>0.11517026620276738</v>
      </c>
    </row>
    <row r="18" spans="1:9" x14ac:dyDescent="0.35">
      <c r="A18" s="5" t="s">
        <v>57</v>
      </c>
      <c r="B18" s="6">
        <v>45875.49450458333</v>
      </c>
      <c r="C18" s="6">
        <v>45880.346445115742</v>
      </c>
      <c r="D18" s="5" t="s">
        <v>13</v>
      </c>
      <c r="E18" s="5" t="s">
        <v>35</v>
      </c>
      <c r="F18" s="5" t="s">
        <v>58</v>
      </c>
      <c r="G18" s="5" t="s">
        <v>29</v>
      </c>
      <c r="H18" s="8" t="str">
        <f>TEXT(Table2[[#This Row],[submission_date]],"dddd")</f>
        <v>Wednesday</v>
      </c>
      <c r="I18" s="8">
        <f>Table2[[#This Row],[resolution_date]]-Table2[[#This Row],[submission_date]]</f>
        <v>4.8519405324113904</v>
      </c>
    </row>
    <row r="19" spans="1:9" x14ac:dyDescent="0.35">
      <c r="A19" s="5" t="s">
        <v>59</v>
      </c>
      <c r="B19" s="6">
        <v>45838.695992071756</v>
      </c>
      <c r="C19" s="6">
        <v>45840.859242071761</v>
      </c>
      <c r="D19" s="5" t="s">
        <v>60</v>
      </c>
      <c r="E19" s="5" t="s">
        <v>9</v>
      </c>
      <c r="F19" s="5" t="s">
        <v>61</v>
      </c>
      <c r="G19" s="5" t="s">
        <v>29</v>
      </c>
      <c r="H19" s="8" t="str">
        <f>TEXT(Table2[[#This Row],[submission_date]],"dddd")</f>
        <v>Monday</v>
      </c>
      <c r="I19" s="8">
        <f>Table2[[#This Row],[resolution_date]]-Table2[[#This Row],[submission_date]]</f>
        <v>2.1632500000050641</v>
      </c>
    </row>
    <row r="20" spans="1:9" x14ac:dyDescent="0.35">
      <c r="A20" s="5" t="s">
        <v>62</v>
      </c>
      <c r="B20" s="6">
        <v>45838.960468067133</v>
      </c>
      <c r="C20" s="6">
        <v>45842.491957118058</v>
      </c>
      <c r="D20" s="5" t="s">
        <v>45</v>
      </c>
      <c r="E20" s="5" t="s">
        <v>22</v>
      </c>
      <c r="F20" s="5" t="s">
        <v>63</v>
      </c>
      <c r="G20" s="5" t="s">
        <v>29</v>
      </c>
      <c r="H20" s="8" t="str">
        <f>TEXT(Table2[[#This Row],[submission_date]],"dddd")</f>
        <v>Monday</v>
      </c>
      <c r="I20" s="8">
        <f>Table2[[#This Row],[resolution_date]]-Table2[[#This Row],[submission_date]]</f>
        <v>3.5314890509253019</v>
      </c>
    </row>
    <row r="21" spans="1:9" x14ac:dyDescent="0.35">
      <c r="A21" s="5" t="s">
        <v>64</v>
      </c>
      <c r="B21" s="6">
        <v>45841.310591307869</v>
      </c>
      <c r="C21" s="6">
        <v>45842.999058043984</v>
      </c>
      <c r="D21" s="5" t="s">
        <v>21</v>
      </c>
      <c r="E21" s="5" t="s">
        <v>22</v>
      </c>
      <c r="F21" s="5" t="s">
        <v>65</v>
      </c>
      <c r="G21" s="5" t="s">
        <v>16</v>
      </c>
      <c r="H21" s="8" t="str">
        <f>TEXT(Table2[[#This Row],[submission_date]],"dddd")</f>
        <v>Thursday</v>
      </c>
      <c r="I21" s="8">
        <f>Table2[[#This Row],[resolution_date]]-Table2[[#This Row],[submission_date]]</f>
        <v>1.6884667361155152</v>
      </c>
    </row>
    <row r="22" spans="1:9" x14ac:dyDescent="0.35">
      <c r="A22" s="5" t="s">
        <v>66</v>
      </c>
      <c r="B22" s="6">
        <v>45831.951130162037</v>
      </c>
      <c r="C22" s="6">
        <v>45833.462965312501</v>
      </c>
      <c r="D22" s="5" t="s">
        <v>13</v>
      </c>
      <c r="E22" s="5" t="s">
        <v>14</v>
      </c>
      <c r="F22" s="5" t="s">
        <v>67</v>
      </c>
      <c r="G22" s="5" t="s">
        <v>16</v>
      </c>
      <c r="H22" s="8" t="str">
        <f>TEXT(Table2[[#This Row],[submission_date]],"dddd")</f>
        <v>Monday</v>
      </c>
      <c r="I22" s="8">
        <f>Table2[[#This Row],[resolution_date]]-Table2[[#This Row],[submission_date]]</f>
        <v>1.5118351504643215</v>
      </c>
    </row>
    <row r="23" spans="1:9" x14ac:dyDescent="0.35">
      <c r="A23" s="5" t="s">
        <v>68</v>
      </c>
      <c r="B23" s="6">
        <v>45846.482601527779</v>
      </c>
      <c r="C23" s="6">
        <v>45848.392504687501</v>
      </c>
      <c r="D23" s="5" t="s">
        <v>13</v>
      </c>
      <c r="E23" s="5" t="s">
        <v>9</v>
      </c>
      <c r="F23" s="5" t="s">
        <v>69</v>
      </c>
      <c r="G23" s="5" t="s">
        <v>16</v>
      </c>
      <c r="H23" s="8" t="str">
        <f>TEXT(Table2[[#This Row],[submission_date]],"dddd")</f>
        <v>Tuesday</v>
      </c>
      <c r="I23" s="8">
        <f>Table2[[#This Row],[resolution_date]]-Table2[[#This Row],[submission_date]]</f>
        <v>1.9099031597215799</v>
      </c>
    </row>
    <row r="24" spans="1:9" x14ac:dyDescent="0.35">
      <c r="A24" s="5" t="s">
        <v>70</v>
      </c>
      <c r="B24" s="6">
        <v>45830.978999976855</v>
      </c>
      <c r="C24" s="6">
        <v>45831.690442743056</v>
      </c>
      <c r="D24" s="5" t="s">
        <v>13</v>
      </c>
      <c r="E24" s="5" t="s">
        <v>42</v>
      </c>
      <c r="F24" s="5" t="s">
        <v>71</v>
      </c>
      <c r="G24" s="5" t="s">
        <v>16</v>
      </c>
      <c r="H24" s="8" t="str">
        <f>TEXT(Table2[[#This Row],[submission_date]],"dddd")</f>
        <v>Sunday</v>
      </c>
      <c r="I24" s="8">
        <f>Table2[[#This Row],[resolution_date]]-Table2[[#This Row],[submission_date]]</f>
        <v>0.7114427662017988</v>
      </c>
    </row>
    <row r="25" spans="1:9" x14ac:dyDescent="0.35">
      <c r="A25" s="5" t="s">
        <v>72</v>
      </c>
      <c r="B25" s="6">
        <v>45898.519360115744</v>
      </c>
      <c r="C25" s="6">
        <v>45900.18315665509</v>
      </c>
      <c r="D25" s="5" t="s">
        <v>13</v>
      </c>
      <c r="E25" s="5" t="s">
        <v>25</v>
      </c>
      <c r="F25" s="5" t="s">
        <v>73</v>
      </c>
      <c r="G25" s="5" t="s">
        <v>16</v>
      </c>
      <c r="H25" s="8" t="str">
        <f>TEXT(Table2[[#This Row],[submission_date]],"dddd")</f>
        <v>Friday</v>
      </c>
      <c r="I25" s="8">
        <f>Table2[[#This Row],[resolution_date]]-Table2[[#This Row],[submission_date]]</f>
        <v>1.6637965393456398</v>
      </c>
    </row>
    <row r="26" spans="1:9" x14ac:dyDescent="0.35">
      <c r="A26" s="5" t="s">
        <v>74</v>
      </c>
      <c r="B26" s="6">
        <v>45850.151124652781</v>
      </c>
      <c r="C26" s="6">
        <v>45854.404572488427</v>
      </c>
      <c r="D26" s="5" t="s">
        <v>45</v>
      </c>
      <c r="E26" s="5" t="s">
        <v>22</v>
      </c>
      <c r="F26" s="5" t="s">
        <v>75</v>
      </c>
      <c r="G26" s="5" t="s">
        <v>29</v>
      </c>
      <c r="H26" s="8" t="str">
        <f>TEXT(Table2[[#This Row],[submission_date]],"dddd")</f>
        <v>Saturday</v>
      </c>
      <c r="I26" s="8">
        <f>Table2[[#This Row],[resolution_date]]-Table2[[#This Row],[submission_date]]</f>
        <v>4.2534478356465115</v>
      </c>
    </row>
    <row r="27" spans="1:9" x14ac:dyDescent="0.35">
      <c r="A27" s="5" t="s">
        <v>76</v>
      </c>
      <c r="B27" s="6">
        <v>45851.238076643516</v>
      </c>
      <c r="C27" s="6">
        <v>45852.816654155089</v>
      </c>
      <c r="D27" s="5" t="s">
        <v>13</v>
      </c>
      <c r="E27" s="5" t="s">
        <v>14</v>
      </c>
      <c r="F27" s="5" t="s">
        <v>77</v>
      </c>
      <c r="G27" s="5" t="s">
        <v>16</v>
      </c>
      <c r="H27" s="8" t="str">
        <f>TEXT(Table2[[#This Row],[submission_date]],"dddd")</f>
        <v>Sunday</v>
      </c>
      <c r="I27" s="8">
        <f>Table2[[#This Row],[resolution_date]]-Table2[[#This Row],[submission_date]]</f>
        <v>1.5785775115728029</v>
      </c>
    </row>
    <row r="28" spans="1:9" x14ac:dyDescent="0.35">
      <c r="A28" s="5" t="s">
        <v>78</v>
      </c>
      <c r="B28" s="6">
        <v>45832.01864923611</v>
      </c>
      <c r="C28" s="6">
        <v>45832.510323969909</v>
      </c>
      <c r="D28" s="5" t="s">
        <v>45</v>
      </c>
      <c r="E28" s="5" t="s">
        <v>25</v>
      </c>
      <c r="F28" s="5" t="s">
        <v>79</v>
      </c>
      <c r="G28" s="5" t="s">
        <v>11</v>
      </c>
      <c r="H28" s="8" t="str">
        <f>TEXT(Table2[[#This Row],[submission_date]],"dddd")</f>
        <v>Tuesday</v>
      </c>
      <c r="I28" s="8">
        <f>Table2[[#This Row],[resolution_date]]-Table2[[#This Row],[submission_date]]</f>
        <v>0.49167473379930016</v>
      </c>
    </row>
    <row r="29" spans="1:9" x14ac:dyDescent="0.35">
      <c r="A29" s="5" t="s">
        <v>80</v>
      </c>
      <c r="B29" s="6">
        <v>45841.81186765046</v>
      </c>
      <c r="C29" s="6">
        <v>45843.718911377313</v>
      </c>
      <c r="D29" s="5" t="s">
        <v>81</v>
      </c>
      <c r="E29" s="5" t="s">
        <v>14</v>
      </c>
      <c r="F29" s="5" t="s">
        <v>82</v>
      </c>
      <c r="G29" s="5" t="s">
        <v>16</v>
      </c>
      <c r="H29" s="8" t="str">
        <f>TEXT(Table2[[#This Row],[submission_date]],"dddd")</f>
        <v>Thursday</v>
      </c>
      <c r="I29" s="8">
        <f>Table2[[#This Row],[resolution_date]]-Table2[[#This Row],[submission_date]]</f>
        <v>1.9070437268528622</v>
      </c>
    </row>
    <row r="30" spans="1:9" x14ac:dyDescent="0.35">
      <c r="A30" s="5" t="s">
        <v>83</v>
      </c>
      <c r="B30" s="6">
        <v>45915.543717083332</v>
      </c>
      <c r="C30" s="6">
        <v>45917.331455462961</v>
      </c>
      <c r="D30" s="5" t="s">
        <v>8</v>
      </c>
      <c r="E30" s="5" t="s">
        <v>9</v>
      </c>
      <c r="F30" s="5" t="s">
        <v>84</v>
      </c>
      <c r="G30" s="5" t="s">
        <v>29</v>
      </c>
      <c r="H30" s="8" t="str">
        <f>TEXT(Table2[[#This Row],[submission_date]],"dddd")</f>
        <v>Monday</v>
      </c>
      <c r="I30" s="8">
        <f>Table2[[#This Row],[resolution_date]]-Table2[[#This Row],[submission_date]]</f>
        <v>1.7877383796294453</v>
      </c>
    </row>
    <row r="31" spans="1:9" x14ac:dyDescent="0.35">
      <c r="A31" s="5" t="s">
        <v>85</v>
      </c>
      <c r="B31" s="6">
        <v>45896.914734548613</v>
      </c>
      <c r="C31" s="6">
        <v>45898.277047488424</v>
      </c>
      <c r="D31" s="5" t="s">
        <v>13</v>
      </c>
      <c r="E31" s="5" t="s">
        <v>18</v>
      </c>
      <c r="F31" s="5" t="s">
        <v>86</v>
      </c>
      <c r="G31" s="5" t="s">
        <v>16</v>
      </c>
      <c r="H31" s="8" t="str">
        <f>TEXT(Table2[[#This Row],[submission_date]],"dddd")</f>
        <v>Wednesday</v>
      </c>
      <c r="I31" s="8">
        <f>Table2[[#This Row],[resolution_date]]-Table2[[#This Row],[submission_date]]</f>
        <v>1.3623129398110905</v>
      </c>
    </row>
    <row r="32" spans="1:9" x14ac:dyDescent="0.35">
      <c r="A32" s="5" t="s">
        <v>87</v>
      </c>
      <c r="B32" s="6">
        <v>45899.845190624997</v>
      </c>
      <c r="C32" s="6">
        <v>45906.109850624998</v>
      </c>
      <c r="D32" s="5" t="s">
        <v>45</v>
      </c>
      <c r="E32" s="5" t="s">
        <v>18</v>
      </c>
      <c r="F32" s="5" t="s">
        <v>88</v>
      </c>
      <c r="G32" s="5" t="s">
        <v>29</v>
      </c>
      <c r="H32" s="8" t="str">
        <f>TEXT(Table2[[#This Row],[submission_date]],"dddd")</f>
        <v>Saturday</v>
      </c>
      <c r="I32" s="8">
        <f>Table2[[#This Row],[resolution_date]]-Table2[[#This Row],[submission_date]]</f>
        <v>6.2646600000007311</v>
      </c>
    </row>
    <row r="33" spans="1:9" x14ac:dyDescent="0.35">
      <c r="A33" s="5" t="s">
        <v>89</v>
      </c>
      <c r="B33" s="6">
        <v>45893.999277337964</v>
      </c>
      <c r="C33" s="6">
        <v>45894.316192916667</v>
      </c>
      <c r="D33" s="5" t="s">
        <v>13</v>
      </c>
      <c r="E33" s="5" t="s">
        <v>14</v>
      </c>
      <c r="F33" s="5" t="s">
        <v>90</v>
      </c>
      <c r="G33" s="5" t="s">
        <v>11</v>
      </c>
      <c r="H33" s="8" t="str">
        <f>TEXT(Table2[[#This Row],[submission_date]],"dddd")</f>
        <v>Sunday</v>
      </c>
      <c r="I33" s="8">
        <f>Table2[[#This Row],[resolution_date]]-Table2[[#This Row],[submission_date]]</f>
        <v>0.31691557870362885</v>
      </c>
    </row>
    <row r="34" spans="1:9" x14ac:dyDescent="0.35">
      <c r="A34" s="5" t="s">
        <v>91</v>
      </c>
      <c r="B34" s="6">
        <v>45849.75739244213</v>
      </c>
      <c r="C34" s="6">
        <v>45855.27821527778</v>
      </c>
      <c r="D34" s="5" t="s">
        <v>45</v>
      </c>
      <c r="E34" s="5" t="s">
        <v>35</v>
      </c>
      <c r="F34" s="5" t="s">
        <v>92</v>
      </c>
      <c r="G34" s="5" t="s">
        <v>29</v>
      </c>
      <c r="H34" s="8" t="str">
        <f>TEXT(Table2[[#This Row],[submission_date]],"dddd")</f>
        <v>Friday</v>
      </c>
      <c r="I34" s="8">
        <f>Table2[[#This Row],[resolution_date]]-Table2[[#This Row],[submission_date]]</f>
        <v>5.5208228356495965</v>
      </c>
    </row>
    <row r="35" spans="1:9" x14ac:dyDescent="0.35">
      <c r="A35" s="5" t="s">
        <v>93</v>
      </c>
      <c r="B35" s="6">
        <v>45904.814613437498</v>
      </c>
      <c r="C35" s="6">
        <v>45910.228323379626</v>
      </c>
      <c r="D35" s="5" t="s">
        <v>81</v>
      </c>
      <c r="E35" s="5" t="s">
        <v>32</v>
      </c>
      <c r="F35" s="5" t="s">
        <v>94</v>
      </c>
      <c r="G35" s="5" t="s">
        <v>29</v>
      </c>
      <c r="H35" s="8" t="str">
        <f>TEXT(Table2[[#This Row],[submission_date]],"dddd")</f>
        <v>Thursday</v>
      </c>
      <c r="I35" s="8">
        <f>Table2[[#This Row],[resolution_date]]-Table2[[#This Row],[submission_date]]</f>
        <v>5.4137099421277526</v>
      </c>
    </row>
    <row r="36" spans="1:9" x14ac:dyDescent="0.35">
      <c r="A36" s="5" t="s">
        <v>95</v>
      </c>
      <c r="B36" s="6">
        <v>45893.712596354169</v>
      </c>
      <c r="C36" s="6">
        <v>45899.821769236114</v>
      </c>
      <c r="D36" s="5" t="s">
        <v>13</v>
      </c>
      <c r="E36" s="5" t="s">
        <v>25</v>
      </c>
      <c r="F36" s="5" t="s">
        <v>96</v>
      </c>
      <c r="G36" s="5" t="s">
        <v>29</v>
      </c>
      <c r="H36" s="8" t="str">
        <f>TEXT(Table2[[#This Row],[submission_date]],"dddd")</f>
        <v>Sunday</v>
      </c>
      <c r="I36" s="8">
        <f>Table2[[#This Row],[resolution_date]]-Table2[[#This Row],[submission_date]]</f>
        <v>6.1091728819446871</v>
      </c>
    </row>
    <row r="37" spans="1:9" x14ac:dyDescent="0.35">
      <c r="A37" s="5" t="s">
        <v>97</v>
      </c>
      <c r="B37" s="6">
        <v>45838.741699282407</v>
      </c>
      <c r="C37" s="6">
        <v>45839.817210752313</v>
      </c>
      <c r="D37" s="5" t="s">
        <v>21</v>
      </c>
      <c r="E37" s="5" t="s">
        <v>14</v>
      </c>
      <c r="F37" s="5" t="s">
        <v>98</v>
      </c>
      <c r="G37" s="5" t="s">
        <v>29</v>
      </c>
      <c r="H37" s="8" t="str">
        <f>TEXT(Table2[[#This Row],[submission_date]],"dddd")</f>
        <v>Monday</v>
      </c>
      <c r="I37" s="8">
        <f>Table2[[#This Row],[resolution_date]]-Table2[[#This Row],[submission_date]]</f>
        <v>1.075511469905905</v>
      </c>
    </row>
    <row r="38" spans="1:9" x14ac:dyDescent="0.35">
      <c r="A38" s="5" t="s">
        <v>99</v>
      </c>
      <c r="B38" s="6">
        <v>45909.36557869213</v>
      </c>
      <c r="C38" s="6">
        <v>45913.263069328706</v>
      </c>
      <c r="D38" s="5" t="s">
        <v>13</v>
      </c>
      <c r="E38" s="5" t="s">
        <v>46</v>
      </c>
      <c r="F38" s="5" t="s">
        <v>100</v>
      </c>
      <c r="G38" s="5" t="s">
        <v>29</v>
      </c>
      <c r="H38" s="8" t="str">
        <f>TEXT(Table2[[#This Row],[submission_date]],"dddd")</f>
        <v>Tuesday</v>
      </c>
      <c r="I38" s="8">
        <f>Table2[[#This Row],[resolution_date]]-Table2[[#This Row],[submission_date]]</f>
        <v>3.8974906365765492</v>
      </c>
    </row>
    <row r="39" spans="1:9" x14ac:dyDescent="0.35">
      <c r="A39" s="5" t="s">
        <v>101</v>
      </c>
      <c r="B39" s="6">
        <v>45880.455971180556</v>
      </c>
      <c r="C39" s="6">
        <v>45886.671748993052</v>
      </c>
      <c r="D39" s="5" t="s">
        <v>8</v>
      </c>
      <c r="E39" s="5" t="s">
        <v>42</v>
      </c>
      <c r="F39" s="5" t="s">
        <v>102</v>
      </c>
      <c r="G39" s="5" t="s">
        <v>29</v>
      </c>
      <c r="H39" s="8" t="str">
        <f>TEXT(Table2[[#This Row],[submission_date]],"dddd")</f>
        <v>Monday</v>
      </c>
      <c r="I39" s="8">
        <f>Table2[[#This Row],[resolution_date]]-Table2[[#This Row],[submission_date]]</f>
        <v>6.2157778124965262</v>
      </c>
    </row>
    <row r="40" spans="1:9" x14ac:dyDescent="0.35">
      <c r="A40" s="5" t="s">
        <v>103</v>
      </c>
      <c r="B40" s="6">
        <v>45901.680695057868</v>
      </c>
      <c r="C40" s="6">
        <v>45902.113242870371</v>
      </c>
      <c r="D40" s="5" t="s">
        <v>13</v>
      </c>
      <c r="E40" s="5" t="s">
        <v>32</v>
      </c>
      <c r="F40" s="5" t="s">
        <v>104</v>
      </c>
      <c r="G40" s="5" t="s">
        <v>16</v>
      </c>
      <c r="H40" s="8" t="str">
        <f>TEXT(Table2[[#This Row],[submission_date]],"dddd")</f>
        <v>Monday</v>
      </c>
      <c r="I40" s="8">
        <f>Table2[[#This Row],[resolution_date]]-Table2[[#This Row],[submission_date]]</f>
        <v>0.43254781250288943</v>
      </c>
    </row>
    <row r="41" spans="1:9" x14ac:dyDescent="0.35">
      <c r="A41" s="5" t="s">
        <v>105</v>
      </c>
      <c r="B41" s="6">
        <v>45883.854248391202</v>
      </c>
      <c r="C41" s="6">
        <v>45884.364103043983</v>
      </c>
      <c r="D41" s="5" t="s">
        <v>31</v>
      </c>
      <c r="E41" s="5" t="s">
        <v>35</v>
      </c>
      <c r="F41" s="5" t="s">
        <v>106</v>
      </c>
      <c r="G41" s="5" t="s">
        <v>16</v>
      </c>
      <c r="H41" s="8" t="str">
        <f>TEXT(Table2[[#This Row],[submission_date]],"dddd")</f>
        <v>Thursday</v>
      </c>
      <c r="I41" s="8">
        <f>Table2[[#This Row],[resolution_date]]-Table2[[#This Row],[submission_date]]</f>
        <v>0.50985465278063202</v>
      </c>
    </row>
    <row r="42" spans="1:9" x14ac:dyDescent="0.35">
      <c r="A42" s="5" t="s">
        <v>107</v>
      </c>
      <c r="B42" s="6">
        <v>45905.24280886574</v>
      </c>
      <c r="C42" s="6">
        <v>45906.957953680554</v>
      </c>
      <c r="D42" s="5" t="s">
        <v>45</v>
      </c>
      <c r="E42" s="5" t="s">
        <v>9</v>
      </c>
      <c r="F42" s="5" t="s">
        <v>108</v>
      </c>
      <c r="G42" s="5" t="s">
        <v>16</v>
      </c>
      <c r="H42" s="8" t="str">
        <f>TEXT(Table2[[#This Row],[submission_date]],"dddd")</f>
        <v>Friday</v>
      </c>
      <c r="I42" s="8">
        <f>Table2[[#This Row],[resolution_date]]-Table2[[#This Row],[submission_date]]</f>
        <v>1.7151448148142663</v>
      </c>
    </row>
    <row r="43" spans="1:9" x14ac:dyDescent="0.35">
      <c r="A43" s="5" t="s">
        <v>109</v>
      </c>
      <c r="B43" s="6">
        <v>45913.768400347224</v>
      </c>
      <c r="C43" s="6">
        <v>45914.807395509262</v>
      </c>
      <c r="D43" s="5" t="s">
        <v>21</v>
      </c>
      <c r="E43" s="5" t="s">
        <v>14</v>
      </c>
      <c r="F43" s="5" t="s">
        <v>110</v>
      </c>
      <c r="G43" s="5" t="s">
        <v>29</v>
      </c>
      <c r="H43" s="8" t="str">
        <f>TEXT(Table2[[#This Row],[submission_date]],"dddd")</f>
        <v>Saturday</v>
      </c>
      <c r="I43" s="8">
        <f>Table2[[#This Row],[resolution_date]]-Table2[[#This Row],[submission_date]]</f>
        <v>1.0389951620381908</v>
      </c>
    </row>
    <row r="44" spans="1:9" ht="17" customHeight="1" x14ac:dyDescent="0.35">
      <c r="A44" s="5" t="s">
        <v>111</v>
      </c>
      <c r="B44" s="6">
        <v>45866.029443506945</v>
      </c>
      <c r="C44" s="6">
        <v>45872.45864300926</v>
      </c>
      <c r="D44" s="5" t="s">
        <v>81</v>
      </c>
      <c r="E44" s="5" t="s">
        <v>55</v>
      </c>
      <c r="F44" s="7" t="s">
        <v>112</v>
      </c>
      <c r="G44" s="5" t="s">
        <v>29</v>
      </c>
      <c r="H44" s="8" t="str">
        <f>TEXT(Table2[[#This Row],[submission_date]],"dddd")</f>
        <v>Monday</v>
      </c>
      <c r="I44" s="8">
        <f>Table2[[#This Row],[resolution_date]]-Table2[[#This Row],[submission_date]]</f>
        <v>6.4291995023158961</v>
      </c>
    </row>
    <row r="45" spans="1:9" x14ac:dyDescent="0.35">
      <c r="A45" s="5" t="s">
        <v>113</v>
      </c>
      <c r="B45" s="6">
        <v>45868.901072280096</v>
      </c>
      <c r="C45" s="6">
        <v>45868.96509607639</v>
      </c>
      <c r="D45" s="5" t="s">
        <v>13</v>
      </c>
      <c r="E45" s="5" t="s">
        <v>35</v>
      </c>
      <c r="F45" s="5" t="s">
        <v>114</v>
      </c>
      <c r="G45" s="5" t="s">
        <v>115</v>
      </c>
      <c r="H45" s="8" t="str">
        <f>TEXT(Table2[[#This Row],[submission_date]],"dddd")</f>
        <v>Wednesday</v>
      </c>
      <c r="I45" s="8">
        <f>Table2[[#This Row],[resolution_date]]-Table2[[#This Row],[submission_date]]</f>
        <v>6.4023796294350177E-2</v>
      </c>
    </row>
    <row r="46" spans="1:9" x14ac:dyDescent="0.35">
      <c r="A46" s="5" t="s">
        <v>116</v>
      </c>
      <c r="B46" s="6">
        <v>45872.126770416668</v>
      </c>
      <c r="C46" s="6">
        <v>45872.29889071759</v>
      </c>
      <c r="D46" s="5" t="s">
        <v>21</v>
      </c>
      <c r="E46" s="5" t="s">
        <v>32</v>
      </c>
      <c r="F46" s="5" t="s">
        <v>117</v>
      </c>
      <c r="G46" s="5" t="s">
        <v>11</v>
      </c>
      <c r="H46" s="8" t="str">
        <f>TEXT(Table2[[#This Row],[submission_date]],"dddd")</f>
        <v>Sunday</v>
      </c>
      <c r="I46" s="8">
        <f>Table2[[#This Row],[resolution_date]]-Table2[[#This Row],[submission_date]]</f>
        <v>0.17212030092196073</v>
      </c>
    </row>
    <row r="47" spans="1:9" x14ac:dyDescent="0.35">
      <c r="A47" s="5" t="s">
        <v>118</v>
      </c>
      <c r="B47" s="6">
        <v>45843.404094467594</v>
      </c>
      <c r="C47" s="6">
        <v>45843.878437824074</v>
      </c>
      <c r="D47" s="5" t="s">
        <v>13</v>
      </c>
      <c r="E47" s="5" t="s">
        <v>14</v>
      </c>
      <c r="F47" s="5" t="s">
        <v>119</v>
      </c>
      <c r="G47" s="5" t="s">
        <v>11</v>
      </c>
      <c r="H47" s="8" t="str">
        <f>TEXT(Table2[[#This Row],[submission_date]],"dddd")</f>
        <v>Saturday</v>
      </c>
      <c r="I47" s="8">
        <f>Table2[[#This Row],[resolution_date]]-Table2[[#This Row],[submission_date]]</f>
        <v>0.47434335647994885</v>
      </c>
    </row>
    <row r="48" spans="1:9" x14ac:dyDescent="0.35">
      <c r="A48" s="5" t="s">
        <v>120</v>
      </c>
      <c r="B48" s="6">
        <v>45899.571593854169</v>
      </c>
      <c r="C48" s="6">
        <v>45901.48748614583</v>
      </c>
      <c r="D48" s="5" t="s">
        <v>45</v>
      </c>
      <c r="E48" s="5" t="s">
        <v>25</v>
      </c>
      <c r="F48" s="5" t="s">
        <v>121</v>
      </c>
      <c r="G48" s="5" t="s">
        <v>16</v>
      </c>
      <c r="H48" s="8" t="str">
        <f>TEXT(Table2[[#This Row],[submission_date]],"dddd")</f>
        <v>Saturday</v>
      </c>
      <c r="I48" s="8">
        <f>Table2[[#This Row],[resolution_date]]-Table2[[#This Row],[submission_date]]</f>
        <v>1.9158922916612937</v>
      </c>
    </row>
    <row r="49" spans="1:9" x14ac:dyDescent="0.35">
      <c r="A49" s="5" t="s">
        <v>122</v>
      </c>
      <c r="B49" s="6">
        <v>45830.641442060187</v>
      </c>
      <c r="C49" s="6">
        <v>45835.539807534726</v>
      </c>
      <c r="D49" s="5" t="s">
        <v>31</v>
      </c>
      <c r="E49" s="5" t="s">
        <v>14</v>
      </c>
      <c r="F49" s="5" t="s">
        <v>123</v>
      </c>
      <c r="G49" s="5" t="s">
        <v>29</v>
      </c>
      <c r="H49" s="8" t="str">
        <f>TEXT(Table2[[#This Row],[submission_date]],"dddd")</f>
        <v>Sunday</v>
      </c>
      <c r="I49" s="8">
        <f>Table2[[#This Row],[resolution_date]]-Table2[[#This Row],[submission_date]]</f>
        <v>4.8983654745388776</v>
      </c>
    </row>
    <row r="50" spans="1:9" x14ac:dyDescent="0.35">
      <c r="A50" s="5" t="s">
        <v>124</v>
      </c>
      <c r="B50" s="6">
        <v>45841.133833182874</v>
      </c>
      <c r="C50" s="6">
        <v>45841.652713553238</v>
      </c>
      <c r="D50" s="5" t="s">
        <v>45</v>
      </c>
      <c r="E50" s="5" t="s">
        <v>14</v>
      </c>
      <c r="F50" s="5" t="s">
        <v>125</v>
      </c>
      <c r="G50" s="5" t="s">
        <v>16</v>
      </c>
      <c r="H50" s="8" t="str">
        <f>TEXT(Table2[[#This Row],[submission_date]],"dddd")</f>
        <v>Thursday</v>
      </c>
      <c r="I50" s="8">
        <f>Table2[[#This Row],[resolution_date]]-Table2[[#This Row],[submission_date]]</f>
        <v>0.51888037036405876</v>
      </c>
    </row>
    <row r="51" spans="1:9" x14ac:dyDescent="0.35">
      <c r="A51" s="5" t="s">
        <v>126</v>
      </c>
      <c r="B51" s="6">
        <v>45878.743972037038</v>
      </c>
      <c r="C51" s="6">
        <v>45879.856085624997</v>
      </c>
      <c r="D51" s="5" t="s">
        <v>45</v>
      </c>
      <c r="E51" s="5" t="s">
        <v>14</v>
      </c>
      <c r="F51" s="5" t="s">
        <v>127</v>
      </c>
      <c r="G51" s="5" t="s">
        <v>16</v>
      </c>
      <c r="H51" s="8" t="str">
        <f>TEXT(Table2[[#This Row],[submission_date]],"dddd")</f>
        <v>Saturday</v>
      </c>
      <c r="I51" s="8">
        <f>Table2[[#This Row],[resolution_date]]-Table2[[#This Row],[submission_date]]</f>
        <v>1.1121135879584472</v>
      </c>
    </row>
    <row r="52" spans="1:9" x14ac:dyDescent="0.35">
      <c r="A52" s="5" t="s">
        <v>128</v>
      </c>
      <c r="B52" s="6">
        <v>45861.349098321756</v>
      </c>
      <c r="C52" s="6">
        <v>45865.965208310183</v>
      </c>
      <c r="D52" s="5" t="s">
        <v>8</v>
      </c>
      <c r="E52" s="5" t="s">
        <v>22</v>
      </c>
      <c r="F52" s="5" t="s">
        <v>129</v>
      </c>
      <c r="G52" s="5" t="s">
        <v>29</v>
      </c>
      <c r="H52" s="8" t="str">
        <f>TEXT(Table2[[#This Row],[submission_date]],"dddd")</f>
        <v>Wednesday</v>
      </c>
      <c r="I52" s="8">
        <f>Table2[[#This Row],[resolution_date]]-Table2[[#This Row],[submission_date]]</f>
        <v>4.616109988426615</v>
      </c>
    </row>
    <row r="53" spans="1:9" x14ac:dyDescent="0.35">
      <c r="A53" s="5" t="s">
        <v>130</v>
      </c>
      <c r="B53" s="6">
        <v>45869.827586620369</v>
      </c>
      <c r="C53" s="6">
        <v>45876.059095208337</v>
      </c>
      <c r="D53" s="5" t="s">
        <v>13</v>
      </c>
      <c r="E53" s="5" t="s">
        <v>14</v>
      </c>
      <c r="F53" s="5" t="s">
        <v>131</v>
      </c>
      <c r="G53" s="5" t="s">
        <v>29</v>
      </c>
      <c r="H53" s="8" t="str">
        <f>TEXT(Table2[[#This Row],[submission_date]],"dddd")</f>
        <v>Thursday</v>
      </c>
      <c r="I53" s="8">
        <f>Table2[[#This Row],[resolution_date]]-Table2[[#This Row],[submission_date]]</f>
        <v>6.2315085879672552</v>
      </c>
    </row>
    <row r="54" spans="1:9" x14ac:dyDescent="0.35">
      <c r="A54" s="5" t="s">
        <v>132</v>
      </c>
      <c r="B54" s="6">
        <v>45837.098491828707</v>
      </c>
      <c r="C54" s="6">
        <v>45837.72761415509</v>
      </c>
      <c r="D54" s="5" t="s">
        <v>13</v>
      </c>
      <c r="E54" s="5" t="s">
        <v>22</v>
      </c>
      <c r="F54" s="5" t="s">
        <v>133</v>
      </c>
      <c r="G54" s="5" t="s">
        <v>16</v>
      </c>
      <c r="H54" s="8" t="str">
        <f>TEXT(Table2[[#This Row],[submission_date]],"dddd")</f>
        <v>Sunday</v>
      </c>
      <c r="I54" s="8">
        <f>Table2[[#This Row],[resolution_date]]-Table2[[#This Row],[submission_date]]</f>
        <v>0.62912232638336718</v>
      </c>
    </row>
    <row r="55" spans="1:9" x14ac:dyDescent="0.35">
      <c r="A55" s="5" t="s">
        <v>134</v>
      </c>
      <c r="B55" s="6">
        <v>45884.862366689813</v>
      </c>
      <c r="C55" s="6">
        <v>45885.412255208335</v>
      </c>
      <c r="D55" s="5" t="s">
        <v>13</v>
      </c>
      <c r="E55" s="5" t="s">
        <v>14</v>
      </c>
      <c r="F55" s="5" t="s">
        <v>135</v>
      </c>
      <c r="G55" s="5" t="s">
        <v>16</v>
      </c>
      <c r="H55" s="8" t="str">
        <f>TEXT(Table2[[#This Row],[submission_date]],"dddd")</f>
        <v>Friday</v>
      </c>
      <c r="I55" s="8">
        <f>Table2[[#This Row],[resolution_date]]-Table2[[#This Row],[submission_date]]</f>
        <v>0.54988851852249354</v>
      </c>
    </row>
    <row r="56" spans="1:9" x14ac:dyDescent="0.35">
      <c r="A56" s="5" t="s">
        <v>136</v>
      </c>
      <c r="B56" s="6">
        <v>45853.375071770832</v>
      </c>
      <c r="C56" s="6">
        <v>45853.793861516206</v>
      </c>
      <c r="D56" s="5" t="s">
        <v>45</v>
      </c>
      <c r="E56" s="5" t="s">
        <v>18</v>
      </c>
      <c r="F56" s="5" t="s">
        <v>137</v>
      </c>
      <c r="G56" s="5" t="s">
        <v>11</v>
      </c>
      <c r="H56" s="8" t="str">
        <f>TEXT(Table2[[#This Row],[submission_date]],"dddd")</f>
        <v>Tuesday</v>
      </c>
      <c r="I56" s="8">
        <f>Table2[[#This Row],[resolution_date]]-Table2[[#This Row],[submission_date]]</f>
        <v>0.41878974537394242</v>
      </c>
    </row>
    <row r="57" spans="1:9" x14ac:dyDescent="0.35">
      <c r="A57" s="5" t="s">
        <v>138</v>
      </c>
      <c r="B57" s="6">
        <v>45829.046392881944</v>
      </c>
      <c r="C57" s="6">
        <v>45830.741530185187</v>
      </c>
      <c r="D57" s="5" t="s">
        <v>31</v>
      </c>
      <c r="E57" s="5" t="s">
        <v>14</v>
      </c>
      <c r="F57" s="5" t="s">
        <v>139</v>
      </c>
      <c r="G57" s="5" t="s">
        <v>16</v>
      </c>
      <c r="H57" s="8" t="str">
        <f>TEXT(Table2[[#This Row],[submission_date]],"dddd")</f>
        <v>Saturday</v>
      </c>
      <c r="I57" s="8">
        <f>Table2[[#This Row],[resolution_date]]-Table2[[#This Row],[submission_date]]</f>
        <v>1.6951373032425181</v>
      </c>
    </row>
    <row r="58" spans="1:9" x14ac:dyDescent="0.35">
      <c r="A58" s="5" t="s">
        <v>140</v>
      </c>
      <c r="B58" s="6">
        <v>45871.327925046295</v>
      </c>
      <c r="C58" s="6">
        <v>45872.603165902779</v>
      </c>
      <c r="D58" s="5" t="s">
        <v>8</v>
      </c>
      <c r="E58" s="5" t="s">
        <v>22</v>
      </c>
      <c r="F58" s="5" t="s">
        <v>141</v>
      </c>
      <c r="G58" s="5" t="s">
        <v>16</v>
      </c>
      <c r="H58" s="8" t="str">
        <f>TEXT(Table2[[#This Row],[submission_date]],"dddd")</f>
        <v>Saturday</v>
      </c>
      <c r="I58" s="8">
        <f>Table2[[#This Row],[resolution_date]]-Table2[[#This Row],[submission_date]]</f>
        <v>1.2752408564847428</v>
      </c>
    </row>
    <row r="59" spans="1:9" x14ac:dyDescent="0.35">
      <c r="A59" s="5" t="s">
        <v>142</v>
      </c>
      <c r="B59" s="6">
        <v>45860.353873182874</v>
      </c>
      <c r="C59" s="6">
        <v>45867.28399974537</v>
      </c>
      <c r="D59" s="5" t="s">
        <v>60</v>
      </c>
      <c r="E59" s="5" t="s">
        <v>35</v>
      </c>
      <c r="F59" s="5" t="s">
        <v>143</v>
      </c>
      <c r="G59" s="5" t="s">
        <v>29</v>
      </c>
      <c r="H59" s="8" t="str">
        <f>TEXT(Table2[[#This Row],[submission_date]],"dddd")</f>
        <v>Tuesday</v>
      </c>
      <c r="I59" s="8">
        <f>Table2[[#This Row],[resolution_date]]-Table2[[#This Row],[submission_date]]</f>
        <v>6.930126562496298</v>
      </c>
    </row>
    <row r="60" spans="1:9" x14ac:dyDescent="0.35">
      <c r="A60" s="5" t="s">
        <v>144</v>
      </c>
      <c r="B60" s="6">
        <v>45875.571420300927</v>
      </c>
      <c r="C60" s="6">
        <v>45877.303206296296</v>
      </c>
      <c r="D60" s="5" t="s">
        <v>8</v>
      </c>
      <c r="E60" s="5" t="s">
        <v>35</v>
      </c>
      <c r="F60" s="5" t="s">
        <v>145</v>
      </c>
      <c r="G60" s="5" t="s">
        <v>16</v>
      </c>
      <c r="H60" s="8" t="str">
        <f>TEXT(Table2[[#This Row],[submission_date]],"dddd")</f>
        <v>Wednesday</v>
      </c>
      <c r="I60" s="8">
        <f>Table2[[#This Row],[resolution_date]]-Table2[[#This Row],[submission_date]]</f>
        <v>1.7317859953691368</v>
      </c>
    </row>
    <row r="61" spans="1:9" x14ac:dyDescent="0.35">
      <c r="A61" s="5" t="s">
        <v>146</v>
      </c>
      <c r="B61" s="6">
        <v>45827.276196747684</v>
      </c>
      <c r="C61" s="6">
        <v>45828.595821400464</v>
      </c>
      <c r="D61" s="5" t="s">
        <v>13</v>
      </c>
      <c r="E61" s="5" t="s">
        <v>32</v>
      </c>
      <c r="F61" s="5" t="s">
        <v>147</v>
      </c>
      <c r="G61" s="5" t="s">
        <v>16</v>
      </c>
      <c r="H61" s="8" t="str">
        <f>TEXT(Table2[[#This Row],[submission_date]],"dddd")</f>
        <v>Thursday</v>
      </c>
      <c r="I61" s="8">
        <f>Table2[[#This Row],[resolution_date]]-Table2[[#This Row],[submission_date]]</f>
        <v>1.319624652780476</v>
      </c>
    </row>
    <row r="62" spans="1:9" x14ac:dyDescent="0.35">
      <c r="A62" s="5" t="s">
        <v>148</v>
      </c>
      <c r="B62" s="6">
        <v>45896.462244918985</v>
      </c>
      <c r="C62" s="6">
        <v>45897.49294236111</v>
      </c>
      <c r="D62" s="5" t="s">
        <v>21</v>
      </c>
      <c r="E62" s="5" t="s">
        <v>22</v>
      </c>
      <c r="F62" s="5" t="s">
        <v>149</v>
      </c>
      <c r="G62" s="5" t="s">
        <v>16</v>
      </c>
      <c r="H62" s="8" t="str">
        <f>TEXT(Table2[[#This Row],[submission_date]],"dddd")</f>
        <v>Wednesday</v>
      </c>
      <c r="I62" s="8">
        <f>Table2[[#This Row],[resolution_date]]-Table2[[#This Row],[submission_date]]</f>
        <v>1.0306974421255291</v>
      </c>
    </row>
    <row r="63" spans="1:9" x14ac:dyDescent="0.35">
      <c r="A63" s="5" t="s">
        <v>150</v>
      </c>
      <c r="B63" s="6">
        <v>45910.846970937499</v>
      </c>
      <c r="C63" s="6">
        <v>45912.419087835646</v>
      </c>
      <c r="D63" s="5" t="s">
        <v>13</v>
      </c>
      <c r="E63" s="5" t="s">
        <v>9</v>
      </c>
      <c r="F63" s="5" t="s">
        <v>151</v>
      </c>
      <c r="G63" s="5" t="s">
        <v>16</v>
      </c>
      <c r="H63" s="8" t="str">
        <f>TEXT(Table2[[#This Row],[submission_date]],"dddd")</f>
        <v>Wednesday</v>
      </c>
      <c r="I63" s="8">
        <f>Table2[[#This Row],[resolution_date]]-Table2[[#This Row],[submission_date]]</f>
        <v>1.5721168981472147</v>
      </c>
    </row>
    <row r="64" spans="1:9" x14ac:dyDescent="0.35">
      <c r="A64" s="5" t="s">
        <v>152</v>
      </c>
      <c r="B64" s="6">
        <v>45839.694215011572</v>
      </c>
      <c r="C64" s="6">
        <v>45840.681742858796</v>
      </c>
      <c r="D64" s="5" t="s">
        <v>13</v>
      </c>
      <c r="E64" s="5" t="s">
        <v>42</v>
      </c>
      <c r="F64" s="5" t="s">
        <v>153</v>
      </c>
      <c r="G64" s="5" t="s">
        <v>16</v>
      </c>
      <c r="H64" s="8" t="str">
        <f>TEXT(Table2[[#This Row],[submission_date]],"dddd")</f>
        <v>Tuesday</v>
      </c>
      <c r="I64" s="8">
        <f>Table2[[#This Row],[resolution_date]]-Table2[[#This Row],[submission_date]]</f>
        <v>0.98752784722455544</v>
      </c>
    </row>
    <row r="65" spans="1:9" x14ac:dyDescent="0.35">
      <c r="A65" s="5" t="s">
        <v>154</v>
      </c>
      <c r="B65" s="6">
        <v>45871.331352719906</v>
      </c>
      <c r="C65" s="6">
        <v>45871.66361797454</v>
      </c>
      <c r="D65" s="5" t="s">
        <v>31</v>
      </c>
      <c r="E65" s="5" t="s">
        <v>42</v>
      </c>
      <c r="F65" s="5" t="s">
        <v>155</v>
      </c>
      <c r="G65" s="5" t="s">
        <v>11</v>
      </c>
      <c r="H65" s="8" t="str">
        <f>TEXT(Table2[[#This Row],[submission_date]],"dddd")</f>
        <v>Saturday</v>
      </c>
      <c r="I65" s="8">
        <f>Table2[[#This Row],[resolution_date]]-Table2[[#This Row],[submission_date]]</f>
        <v>0.33226525463396683</v>
      </c>
    </row>
    <row r="66" spans="1:9" x14ac:dyDescent="0.35">
      <c r="A66" s="5" t="s">
        <v>156</v>
      </c>
      <c r="B66" s="6">
        <v>45910.248753749998</v>
      </c>
      <c r="C66" s="6">
        <v>45910.584669618052</v>
      </c>
      <c r="D66" s="5" t="s">
        <v>31</v>
      </c>
      <c r="E66" s="5" t="s">
        <v>25</v>
      </c>
      <c r="F66" s="5" t="s">
        <v>157</v>
      </c>
      <c r="G66" s="5" t="s">
        <v>16</v>
      </c>
      <c r="H66" s="8" t="str">
        <f>TEXT(Table2[[#This Row],[submission_date]],"dddd")</f>
        <v>Wednesday</v>
      </c>
      <c r="I66" s="8">
        <f>Table2[[#This Row],[resolution_date]]-Table2[[#This Row],[submission_date]]</f>
        <v>0.33591586805414408</v>
      </c>
    </row>
    <row r="67" spans="1:9" x14ac:dyDescent="0.35">
      <c r="A67" s="5" t="s">
        <v>158</v>
      </c>
      <c r="B67" s="6">
        <v>45886.799485474534</v>
      </c>
      <c r="C67" s="6">
        <v>45887.413612974538</v>
      </c>
      <c r="D67" s="5" t="s">
        <v>45</v>
      </c>
      <c r="E67" s="5" t="s">
        <v>9</v>
      </c>
      <c r="F67" s="5" t="s">
        <v>159</v>
      </c>
      <c r="G67" s="5" t="s">
        <v>16</v>
      </c>
      <c r="H67" s="8" t="str">
        <f>TEXT(Table2[[#This Row],[submission_date]],"dddd")</f>
        <v>Sunday</v>
      </c>
      <c r="I67" s="8">
        <f>Table2[[#This Row],[resolution_date]]-Table2[[#This Row],[submission_date]]</f>
        <v>0.61412750000454253</v>
      </c>
    </row>
    <row r="68" spans="1:9" x14ac:dyDescent="0.35">
      <c r="A68" s="5" t="s">
        <v>160</v>
      </c>
      <c r="B68" s="6">
        <v>45856.265250370372</v>
      </c>
      <c r="C68" s="6">
        <v>45861.837133449073</v>
      </c>
      <c r="D68" s="5" t="s">
        <v>21</v>
      </c>
      <c r="E68" s="5" t="s">
        <v>18</v>
      </c>
      <c r="F68" s="5" t="s">
        <v>161</v>
      </c>
      <c r="G68" s="5" t="s">
        <v>29</v>
      </c>
      <c r="H68" s="8" t="str">
        <f>TEXT(Table2[[#This Row],[submission_date]],"dddd")</f>
        <v>Friday</v>
      </c>
      <c r="I68" s="8">
        <f>Table2[[#This Row],[resolution_date]]-Table2[[#This Row],[submission_date]]</f>
        <v>5.571883078700921</v>
      </c>
    </row>
    <row r="69" spans="1:9" x14ac:dyDescent="0.35">
      <c r="A69" s="5" t="s">
        <v>162</v>
      </c>
      <c r="B69" s="6">
        <v>45844.096052199071</v>
      </c>
      <c r="C69" s="6">
        <v>45845.543753993057</v>
      </c>
      <c r="D69" s="5" t="s">
        <v>45</v>
      </c>
      <c r="E69" s="5" t="s">
        <v>42</v>
      </c>
      <c r="F69" s="5" t="s">
        <v>163</v>
      </c>
      <c r="G69" s="5" t="s">
        <v>16</v>
      </c>
      <c r="H69" s="8" t="str">
        <f>TEXT(Table2[[#This Row],[submission_date]],"dddd")</f>
        <v>Sunday</v>
      </c>
      <c r="I69" s="8">
        <f>Table2[[#This Row],[resolution_date]]-Table2[[#This Row],[submission_date]]</f>
        <v>1.447701793986198</v>
      </c>
    </row>
    <row r="70" spans="1:9" x14ac:dyDescent="0.35">
      <c r="A70" s="5" t="s">
        <v>164</v>
      </c>
      <c r="B70" s="6">
        <v>45894.949184375</v>
      </c>
      <c r="C70" s="6">
        <v>45898.220131793983</v>
      </c>
      <c r="D70" s="5" t="s">
        <v>13</v>
      </c>
      <c r="E70" s="5" t="s">
        <v>32</v>
      </c>
      <c r="F70" s="5" t="s">
        <v>165</v>
      </c>
      <c r="G70" s="5" t="s">
        <v>29</v>
      </c>
      <c r="H70" s="8" t="str">
        <f>TEXT(Table2[[#This Row],[submission_date]],"dddd")</f>
        <v>Monday</v>
      </c>
      <c r="I70" s="8">
        <f>Table2[[#This Row],[resolution_date]]-Table2[[#This Row],[submission_date]]</f>
        <v>3.270947418983269</v>
      </c>
    </row>
    <row r="71" spans="1:9" x14ac:dyDescent="0.35">
      <c r="A71" s="5" t="s">
        <v>166</v>
      </c>
      <c r="B71" s="6">
        <v>45907.021170486114</v>
      </c>
      <c r="C71" s="6">
        <v>45908.025708969908</v>
      </c>
      <c r="D71" s="5" t="s">
        <v>13</v>
      </c>
      <c r="E71" s="5" t="s">
        <v>25</v>
      </c>
      <c r="F71" s="5" t="s">
        <v>167</v>
      </c>
      <c r="G71" s="5" t="s">
        <v>16</v>
      </c>
      <c r="H71" s="8" t="str">
        <f>TEXT(Table2[[#This Row],[submission_date]],"dddd")</f>
        <v>Sunday</v>
      </c>
      <c r="I71" s="8">
        <f>Table2[[#This Row],[resolution_date]]-Table2[[#This Row],[submission_date]]</f>
        <v>1.0045384837940219</v>
      </c>
    </row>
    <row r="72" spans="1:9" x14ac:dyDescent="0.35">
      <c r="A72" s="5" t="s">
        <v>168</v>
      </c>
      <c r="B72" s="6">
        <v>45859.915516805559</v>
      </c>
      <c r="C72" s="6">
        <v>45860.049579155093</v>
      </c>
      <c r="D72" s="5" t="s">
        <v>21</v>
      </c>
      <c r="E72" s="5" t="s">
        <v>42</v>
      </c>
      <c r="F72" s="5" t="s">
        <v>169</v>
      </c>
      <c r="G72" s="5" t="s">
        <v>115</v>
      </c>
      <c r="H72" s="8" t="str">
        <f>TEXT(Table2[[#This Row],[submission_date]],"dddd")</f>
        <v>Monday</v>
      </c>
      <c r="I72" s="8">
        <f>Table2[[#This Row],[resolution_date]]-Table2[[#This Row],[submission_date]]</f>
        <v>0.13406234953436069</v>
      </c>
    </row>
    <row r="73" spans="1:9" x14ac:dyDescent="0.35">
      <c r="A73" s="5" t="s">
        <v>170</v>
      </c>
      <c r="B73" s="6">
        <v>45862.538502326388</v>
      </c>
      <c r="C73" s="6">
        <v>45863.373908437497</v>
      </c>
      <c r="D73" s="5" t="s">
        <v>13</v>
      </c>
      <c r="E73" s="5" t="s">
        <v>18</v>
      </c>
      <c r="F73" s="5" t="s">
        <v>171</v>
      </c>
      <c r="G73" s="5" t="s">
        <v>16</v>
      </c>
      <c r="H73" s="8" t="str">
        <f>TEXT(Table2[[#This Row],[submission_date]],"dddd")</f>
        <v>Thursday</v>
      </c>
      <c r="I73" s="8">
        <f>Table2[[#This Row],[resolution_date]]-Table2[[#This Row],[submission_date]]</f>
        <v>0.83540611110947793</v>
      </c>
    </row>
    <row r="74" spans="1:9" x14ac:dyDescent="0.35">
      <c r="A74" s="5" t="s">
        <v>172</v>
      </c>
      <c r="B74" s="6">
        <v>45826.321113136575</v>
      </c>
      <c r="C74" s="6">
        <v>45827.897584212966</v>
      </c>
      <c r="D74" s="5" t="s">
        <v>45</v>
      </c>
      <c r="E74" s="5" t="s">
        <v>42</v>
      </c>
      <c r="F74" s="5" t="s">
        <v>173</v>
      </c>
      <c r="G74" s="5" t="s">
        <v>16</v>
      </c>
      <c r="H74" s="8" t="str">
        <f>TEXT(Table2[[#This Row],[submission_date]],"dddd")</f>
        <v>Wednesday</v>
      </c>
      <c r="I74" s="8">
        <f>Table2[[#This Row],[resolution_date]]-Table2[[#This Row],[submission_date]]</f>
        <v>1.5764710763905896</v>
      </c>
    </row>
    <row r="75" spans="1:9" x14ac:dyDescent="0.35">
      <c r="A75" s="5" t="s">
        <v>174</v>
      </c>
      <c r="B75" s="6">
        <v>45903.107100034722</v>
      </c>
      <c r="C75" s="6">
        <v>45903.445007858798</v>
      </c>
      <c r="D75" s="5" t="s">
        <v>8</v>
      </c>
      <c r="E75" s="5" t="s">
        <v>46</v>
      </c>
      <c r="F75" s="5" t="s">
        <v>175</v>
      </c>
      <c r="G75" s="5" t="s">
        <v>11</v>
      </c>
      <c r="H75" s="8" t="str">
        <f>TEXT(Table2[[#This Row],[submission_date]],"dddd")</f>
        <v>Wednesday</v>
      </c>
      <c r="I75" s="8">
        <f>Table2[[#This Row],[resolution_date]]-Table2[[#This Row],[submission_date]]</f>
        <v>0.33790782407595543</v>
      </c>
    </row>
    <row r="76" spans="1:9" x14ac:dyDescent="0.35">
      <c r="A76" s="5" t="s">
        <v>176</v>
      </c>
      <c r="B76" s="6">
        <v>45877.970792118052</v>
      </c>
      <c r="C76" s="6">
        <v>45883.972063807872</v>
      </c>
      <c r="D76" s="5" t="s">
        <v>60</v>
      </c>
      <c r="E76" s="5" t="s">
        <v>14</v>
      </c>
      <c r="F76" s="5" t="s">
        <v>177</v>
      </c>
      <c r="G76" s="5" t="s">
        <v>29</v>
      </c>
      <c r="H76" s="8" t="str">
        <f>TEXT(Table2[[#This Row],[submission_date]],"dddd")</f>
        <v>Friday</v>
      </c>
      <c r="I76" s="8">
        <f>Table2[[#This Row],[resolution_date]]-Table2[[#This Row],[submission_date]]</f>
        <v>6.0012716898199869</v>
      </c>
    </row>
    <row r="77" spans="1:9" x14ac:dyDescent="0.35">
      <c r="A77" s="5" t="s">
        <v>178</v>
      </c>
      <c r="B77" s="6">
        <v>45897.075165682872</v>
      </c>
      <c r="C77" s="6">
        <v>45897.403448738427</v>
      </c>
      <c r="D77" s="5" t="s">
        <v>8</v>
      </c>
      <c r="E77" s="5" t="s">
        <v>42</v>
      </c>
      <c r="F77" s="5" t="s">
        <v>179</v>
      </c>
      <c r="G77" s="5" t="s">
        <v>11</v>
      </c>
      <c r="H77" s="8" t="str">
        <f>TEXT(Table2[[#This Row],[submission_date]],"dddd")</f>
        <v>Thursday</v>
      </c>
      <c r="I77" s="8">
        <f>Table2[[#This Row],[resolution_date]]-Table2[[#This Row],[submission_date]]</f>
        <v>0.32828305555449333</v>
      </c>
    </row>
    <row r="78" spans="1:9" x14ac:dyDescent="0.35">
      <c r="A78" s="5" t="s">
        <v>180</v>
      </c>
      <c r="B78" s="6">
        <v>45858.438465046296</v>
      </c>
      <c r="C78" s="6">
        <v>45858.591115138886</v>
      </c>
      <c r="D78" s="5" t="s">
        <v>13</v>
      </c>
      <c r="E78" s="5" t="s">
        <v>14</v>
      </c>
      <c r="F78" s="5" t="s">
        <v>181</v>
      </c>
      <c r="G78" s="5" t="s">
        <v>11</v>
      </c>
      <c r="H78" s="8" t="str">
        <f>TEXT(Table2[[#This Row],[submission_date]],"dddd")</f>
        <v>Sunday</v>
      </c>
      <c r="I78" s="8">
        <f>Table2[[#This Row],[resolution_date]]-Table2[[#This Row],[submission_date]]</f>
        <v>0.1526500925901928</v>
      </c>
    </row>
    <row r="79" spans="1:9" x14ac:dyDescent="0.35">
      <c r="A79" s="5" t="s">
        <v>182</v>
      </c>
      <c r="B79" s="6">
        <v>45855.654603726849</v>
      </c>
      <c r="C79" s="6">
        <v>45855.944653101855</v>
      </c>
      <c r="D79" s="5" t="s">
        <v>60</v>
      </c>
      <c r="E79" s="5" t="s">
        <v>32</v>
      </c>
      <c r="F79" s="5" t="s">
        <v>183</v>
      </c>
      <c r="G79" s="5" t="s">
        <v>11</v>
      </c>
      <c r="H79" s="8" t="str">
        <f>TEXT(Table2[[#This Row],[submission_date]],"dddd")</f>
        <v>Thursday</v>
      </c>
      <c r="I79" s="8">
        <f>Table2[[#This Row],[resolution_date]]-Table2[[#This Row],[submission_date]]</f>
        <v>0.29004937500576489</v>
      </c>
    </row>
    <row r="80" spans="1:9" x14ac:dyDescent="0.35">
      <c r="A80" s="5" t="s">
        <v>184</v>
      </c>
      <c r="B80" s="6">
        <v>45861.832680300926</v>
      </c>
      <c r="C80" s="6">
        <v>45864.478965694441</v>
      </c>
      <c r="D80" s="5" t="s">
        <v>13</v>
      </c>
      <c r="E80" s="5" t="s">
        <v>14</v>
      </c>
      <c r="F80" s="5" t="s">
        <v>185</v>
      </c>
      <c r="G80" s="5" t="s">
        <v>29</v>
      </c>
      <c r="H80" s="8" t="str">
        <f>TEXT(Table2[[#This Row],[submission_date]],"dddd")</f>
        <v>Wednesday</v>
      </c>
      <c r="I80" s="8">
        <f>Table2[[#This Row],[resolution_date]]-Table2[[#This Row],[submission_date]]</f>
        <v>2.6462853935154271</v>
      </c>
    </row>
    <row r="81" spans="1:9" x14ac:dyDescent="0.35">
      <c r="A81" s="5" t="s">
        <v>186</v>
      </c>
      <c r="B81" s="6">
        <v>45835.874010046296</v>
      </c>
      <c r="C81" s="6">
        <v>45839.839174652778</v>
      </c>
      <c r="D81" s="5" t="s">
        <v>45</v>
      </c>
      <c r="E81" s="5" t="s">
        <v>14</v>
      </c>
      <c r="F81" s="5" t="s">
        <v>187</v>
      </c>
      <c r="G81" s="5" t="s">
        <v>29</v>
      </c>
      <c r="H81" s="8" t="str">
        <f>TEXT(Table2[[#This Row],[submission_date]],"dddd")</f>
        <v>Friday</v>
      </c>
      <c r="I81" s="8">
        <f>Table2[[#This Row],[resolution_date]]-Table2[[#This Row],[submission_date]]</f>
        <v>3.9651646064812667</v>
      </c>
    </row>
    <row r="82" spans="1:9" x14ac:dyDescent="0.35">
      <c r="A82" s="5" t="s">
        <v>188</v>
      </c>
      <c r="B82" s="6">
        <v>45827.696929745369</v>
      </c>
      <c r="C82" s="6">
        <v>45833.939332164351</v>
      </c>
      <c r="D82" s="5" t="s">
        <v>13</v>
      </c>
      <c r="E82" s="5" t="s">
        <v>35</v>
      </c>
      <c r="F82" s="5" t="s">
        <v>189</v>
      </c>
      <c r="G82" s="5" t="s">
        <v>29</v>
      </c>
      <c r="H82" s="8" t="str">
        <f>TEXT(Table2[[#This Row],[submission_date]],"dddd")</f>
        <v>Thursday</v>
      </c>
      <c r="I82" s="8">
        <f>Table2[[#This Row],[resolution_date]]-Table2[[#This Row],[submission_date]]</f>
        <v>6.2424024189822376</v>
      </c>
    </row>
    <row r="83" spans="1:9" x14ac:dyDescent="0.35">
      <c r="A83" s="5" t="s">
        <v>190</v>
      </c>
      <c r="B83" s="6">
        <v>45835.035242280093</v>
      </c>
      <c r="C83" s="6">
        <v>45839.417101817133</v>
      </c>
      <c r="D83" s="5" t="s">
        <v>31</v>
      </c>
      <c r="E83" s="5" t="s">
        <v>22</v>
      </c>
      <c r="F83" s="5" t="s">
        <v>191</v>
      </c>
      <c r="G83" s="5" t="s">
        <v>29</v>
      </c>
      <c r="H83" s="8" t="str">
        <f>TEXT(Table2[[#This Row],[submission_date]],"dddd")</f>
        <v>Friday</v>
      </c>
      <c r="I83" s="8">
        <f>Table2[[#This Row],[resolution_date]]-Table2[[#This Row],[submission_date]]</f>
        <v>4.3818595370394178</v>
      </c>
    </row>
    <row r="84" spans="1:9" x14ac:dyDescent="0.35">
      <c r="A84" s="5" t="s">
        <v>192</v>
      </c>
      <c r="B84" s="6">
        <v>45879.470454189817</v>
      </c>
      <c r="C84" s="6">
        <v>45881.348121898147</v>
      </c>
      <c r="D84" s="5" t="s">
        <v>13</v>
      </c>
      <c r="E84" s="5" t="s">
        <v>14</v>
      </c>
      <c r="F84" s="5" t="s">
        <v>193</v>
      </c>
      <c r="G84" s="5" t="s">
        <v>16</v>
      </c>
      <c r="H84" s="8" t="str">
        <f>TEXT(Table2[[#This Row],[submission_date]],"dddd")</f>
        <v>Sunday</v>
      </c>
      <c r="I84" s="8">
        <f>Table2[[#This Row],[resolution_date]]-Table2[[#This Row],[submission_date]]</f>
        <v>1.8776677083296818</v>
      </c>
    </row>
    <row r="85" spans="1:9" x14ac:dyDescent="0.35">
      <c r="A85" s="5" t="s">
        <v>194</v>
      </c>
      <c r="B85" s="6">
        <v>45867.075831828704</v>
      </c>
      <c r="C85" s="6">
        <v>45869.559900428241</v>
      </c>
      <c r="D85" s="5" t="s">
        <v>81</v>
      </c>
      <c r="E85" s="5" t="s">
        <v>25</v>
      </c>
      <c r="F85" s="5" t="s">
        <v>195</v>
      </c>
      <c r="G85" s="5" t="s">
        <v>29</v>
      </c>
      <c r="H85" s="8" t="str">
        <f>TEXT(Table2[[#This Row],[submission_date]],"dddd")</f>
        <v>Tuesday</v>
      </c>
      <c r="I85" s="8">
        <f>Table2[[#This Row],[resolution_date]]-Table2[[#This Row],[submission_date]]</f>
        <v>2.4840685995368403</v>
      </c>
    </row>
    <row r="86" spans="1:9" x14ac:dyDescent="0.35">
      <c r="A86" s="5" t="s">
        <v>196</v>
      </c>
      <c r="B86" s="6">
        <v>45844.422962789351</v>
      </c>
      <c r="C86" s="6">
        <v>45849.014388842596</v>
      </c>
      <c r="D86" s="5" t="s">
        <v>21</v>
      </c>
      <c r="E86" s="5" t="s">
        <v>55</v>
      </c>
      <c r="F86" s="5" t="s">
        <v>197</v>
      </c>
      <c r="G86" s="5" t="s">
        <v>29</v>
      </c>
      <c r="H86" s="8" t="str">
        <f>TEXT(Table2[[#This Row],[submission_date]],"dddd")</f>
        <v>Sunday</v>
      </c>
      <c r="I86" s="8">
        <f>Table2[[#This Row],[resolution_date]]-Table2[[#This Row],[submission_date]]</f>
        <v>4.5914260532445041</v>
      </c>
    </row>
    <row r="87" spans="1:9" x14ac:dyDescent="0.35">
      <c r="A87" s="5" t="s">
        <v>198</v>
      </c>
      <c r="B87" s="6">
        <v>45868.183028981482</v>
      </c>
      <c r="C87" s="6">
        <v>45868.547340937497</v>
      </c>
      <c r="D87" s="5" t="s">
        <v>31</v>
      </c>
      <c r="E87" s="5" t="s">
        <v>32</v>
      </c>
      <c r="F87" s="5" t="s">
        <v>199</v>
      </c>
      <c r="G87" s="5" t="s">
        <v>11</v>
      </c>
      <c r="H87" s="8" t="str">
        <f>TEXT(Table2[[#This Row],[submission_date]],"dddd")</f>
        <v>Wednesday</v>
      </c>
      <c r="I87" s="8">
        <f>Table2[[#This Row],[resolution_date]]-Table2[[#This Row],[submission_date]]</f>
        <v>0.364311956014717</v>
      </c>
    </row>
    <row r="88" spans="1:9" x14ac:dyDescent="0.35">
      <c r="A88" s="5" t="s">
        <v>200</v>
      </c>
      <c r="B88" s="6">
        <v>45892.221289976849</v>
      </c>
      <c r="C88" s="6">
        <v>45893.692486550928</v>
      </c>
      <c r="D88" s="5" t="s">
        <v>13</v>
      </c>
      <c r="E88" s="5" t="s">
        <v>42</v>
      </c>
      <c r="F88" s="5" t="s">
        <v>201</v>
      </c>
      <c r="G88" s="5" t="s">
        <v>16</v>
      </c>
      <c r="H88" s="8" t="str">
        <f>TEXT(Table2[[#This Row],[submission_date]],"dddd")</f>
        <v>Saturday</v>
      </c>
      <c r="I88" s="8">
        <f>Table2[[#This Row],[resolution_date]]-Table2[[#This Row],[submission_date]]</f>
        <v>1.471196574078931</v>
      </c>
    </row>
    <row r="89" spans="1:9" x14ac:dyDescent="0.35">
      <c r="A89" s="5" t="s">
        <v>202</v>
      </c>
      <c r="B89" s="6">
        <v>45848.132901874997</v>
      </c>
      <c r="C89" s="6">
        <v>45848.966689872686</v>
      </c>
      <c r="D89" s="5" t="s">
        <v>21</v>
      </c>
      <c r="E89" s="5" t="s">
        <v>18</v>
      </c>
      <c r="F89" s="5" t="s">
        <v>203</v>
      </c>
      <c r="G89" s="5" t="s">
        <v>16</v>
      </c>
      <c r="H89" s="8" t="str">
        <f>TEXT(Table2[[#This Row],[submission_date]],"dddd")</f>
        <v>Thursday</v>
      </c>
      <c r="I89" s="8">
        <f>Table2[[#This Row],[resolution_date]]-Table2[[#This Row],[submission_date]]</f>
        <v>0.83378799768979661</v>
      </c>
    </row>
    <row r="90" spans="1:9" x14ac:dyDescent="0.35">
      <c r="A90" s="5" t="s">
        <v>204</v>
      </c>
      <c r="B90" s="6">
        <v>45912.790745324077</v>
      </c>
      <c r="C90" s="6">
        <v>45914.105542256948</v>
      </c>
      <c r="D90" s="5" t="s">
        <v>13</v>
      </c>
      <c r="E90" s="5" t="s">
        <v>32</v>
      </c>
      <c r="F90" s="5" t="s">
        <v>205</v>
      </c>
      <c r="G90" s="5" t="s">
        <v>16</v>
      </c>
      <c r="H90" s="8" t="str">
        <f>TEXT(Table2[[#This Row],[submission_date]],"dddd")</f>
        <v>Friday</v>
      </c>
      <c r="I90" s="8">
        <f>Table2[[#This Row],[resolution_date]]-Table2[[#This Row],[submission_date]]</f>
        <v>1.3147969328711042</v>
      </c>
    </row>
    <row r="91" spans="1:9" x14ac:dyDescent="0.35">
      <c r="A91" s="5" t="s">
        <v>206</v>
      </c>
      <c r="B91" s="6">
        <v>45902.639425532405</v>
      </c>
      <c r="C91" s="6">
        <v>45908.681624143515</v>
      </c>
      <c r="D91" s="5" t="s">
        <v>13</v>
      </c>
      <c r="E91" s="5" t="s">
        <v>32</v>
      </c>
      <c r="F91" s="5" t="s">
        <v>207</v>
      </c>
      <c r="G91" s="5" t="s">
        <v>29</v>
      </c>
      <c r="H91" s="8" t="str">
        <f>TEXT(Table2[[#This Row],[submission_date]],"dddd")</f>
        <v>Tuesday</v>
      </c>
      <c r="I91" s="8">
        <f>Table2[[#This Row],[resolution_date]]-Table2[[#This Row],[submission_date]]</f>
        <v>6.042198611110507</v>
      </c>
    </row>
    <row r="92" spans="1:9" x14ac:dyDescent="0.35">
      <c r="A92" s="5" t="s">
        <v>208</v>
      </c>
      <c r="B92" s="6">
        <v>45850.503205740744</v>
      </c>
      <c r="C92" s="6">
        <v>45851.26551005787</v>
      </c>
      <c r="D92" s="5" t="s">
        <v>13</v>
      </c>
      <c r="E92" s="5" t="s">
        <v>9</v>
      </c>
      <c r="F92" s="5" t="s">
        <v>209</v>
      </c>
      <c r="G92" s="5" t="s">
        <v>16</v>
      </c>
      <c r="H92" s="8" t="str">
        <f>TEXT(Table2[[#This Row],[submission_date]],"dddd")</f>
        <v>Saturday</v>
      </c>
      <c r="I92" s="8">
        <f>Table2[[#This Row],[resolution_date]]-Table2[[#This Row],[submission_date]]</f>
        <v>0.7623043171261088</v>
      </c>
    </row>
    <row r="93" spans="1:9" x14ac:dyDescent="0.35">
      <c r="A93" s="5" t="s">
        <v>210</v>
      </c>
      <c r="B93" s="6">
        <v>45875.192167974536</v>
      </c>
      <c r="C93" s="6">
        <v>45881.464590856478</v>
      </c>
      <c r="D93" s="5" t="s">
        <v>13</v>
      </c>
      <c r="E93" s="5" t="s">
        <v>32</v>
      </c>
      <c r="F93" s="5" t="s">
        <v>211</v>
      </c>
      <c r="G93" s="5" t="s">
        <v>29</v>
      </c>
      <c r="H93" s="8" t="str">
        <f>TEXT(Table2[[#This Row],[submission_date]],"dddd")</f>
        <v>Wednesday</v>
      </c>
      <c r="I93" s="8">
        <f>Table2[[#This Row],[resolution_date]]-Table2[[#This Row],[submission_date]]</f>
        <v>6.2724228819424752</v>
      </c>
    </row>
    <row r="94" spans="1:9" x14ac:dyDescent="0.35">
      <c r="A94" s="5" t="s">
        <v>212</v>
      </c>
      <c r="B94" s="6">
        <v>45832.518167638889</v>
      </c>
      <c r="C94" s="6">
        <v>45834.451125613428</v>
      </c>
      <c r="D94" s="5" t="s">
        <v>45</v>
      </c>
      <c r="E94" s="5" t="s">
        <v>22</v>
      </c>
      <c r="F94" s="5" t="s">
        <v>213</v>
      </c>
      <c r="G94" s="5" t="s">
        <v>16</v>
      </c>
      <c r="H94" s="8" t="str">
        <f>TEXT(Table2[[#This Row],[submission_date]],"dddd")</f>
        <v>Tuesday</v>
      </c>
      <c r="I94" s="8">
        <f>Table2[[#This Row],[resolution_date]]-Table2[[#This Row],[submission_date]]</f>
        <v>1.932957974539022</v>
      </c>
    </row>
    <row r="95" spans="1:9" x14ac:dyDescent="0.35">
      <c r="A95" s="5" t="s">
        <v>214</v>
      </c>
      <c r="B95" s="6">
        <v>45833.894249444442</v>
      </c>
      <c r="C95" s="6">
        <v>45837.297820671294</v>
      </c>
      <c r="D95" s="5" t="s">
        <v>8</v>
      </c>
      <c r="E95" s="5" t="s">
        <v>22</v>
      </c>
      <c r="F95" s="5" t="s">
        <v>215</v>
      </c>
      <c r="G95" s="5" t="s">
        <v>29</v>
      </c>
      <c r="H95" s="8" t="str">
        <f>TEXT(Table2[[#This Row],[submission_date]],"dddd")</f>
        <v>Wednesday</v>
      </c>
      <c r="I95" s="8">
        <f>Table2[[#This Row],[resolution_date]]-Table2[[#This Row],[submission_date]]</f>
        <v>3.4035712268523639</v>
      </c>
    </row>
    <row r="96" spans="1:9" x14ac:dyDescent="0.35">
      <c r="A96" s="5" t="s">
        <v>216</v>
      </c>
      <c r="B96" s="6">
        <v>45863.629643032407</v>
      </c>
      <c r="C96" s="6">
        <v>45868.030028715279</v>
      </c>
      <c r="D96" s="5" t="s">
        <v>31</v>
      </c>
      <c r="E96" s="5" t="s">
        <v>42</v>
      </c>
      <c r="F96" s="5" t="s">
        <v>217</v>
      </c>
      <c r="G96" s="5" t="s">
        <v>29</v>
      </c>
      <c r="H96" s="8" t="str">
        <f>TEXT(Table2[[#This Row],[submission_date]],"dddd")</f>
        <v>Friday</v>
      </c>
      <c r="I96" s="8">
        <f>Table2[[#This Row],[resolution_date]]-Table2[[#This Row],[submission_date]]</f>
        <v>4.4003856828712742</v>
      </c>
    </row>
    <row r="97" spans="1:9" x14ac:dyDescent="0.35">
      <c r="A97" s="5" t="s">
        <v>218</v>
      </c>
      <c r="B97" s="6">
        <v>45863.74130209491</v>
      </c>
      <c r="C97" s="6">
        <v>45864.909261319444</v>
      </c>
      <c r="D97" s="5" t="s">
        <v>8</v>
      </c>
      <c r="E97" s="5" t="s">
        <v>9</v>
      </c>
      <c r="F97" s="5" t="s">
        <v>219</v>
      </c>
      <c r="G97" s="5" t="s">
        <v>16</v>
      </c>
      <c r="H97" s="8" t="str">
        <f>TEXT(Table2[[#This Row],[submission_date]],"dddd")</f>
        <v>Friday</v>
      </c>
      <c r="I97" s="8">
        <f>Table2[[#This Row],[resolution_date]]-Table2[[#This Row],[submission_date]]</f>
        <v>1.1679592245345702</v>
      </c>
    </row>
    <row r="98" spans="1:9" x14ac:dyDescent="0.35">
      <c r="A98" s="5" t="s">
        <v>220</v>
      </c>
      <c r="B98" s="6">
        <v>45881.742879791665</v>
      </c>
      <c r="C98" s="6">
        <v>45883.565504467595</v>
      </c>
      <c r="D98" s="5" t="s">
        <v>31</v>
      </c>
      <c r="E98" s="5" t="s">
        <v>25</v>
      </c>
      <c r="F98" s="5" t="s">
        <v>221</v>
      </c>
      <c r="G98" s="5" t="s">
        <v>29</v>
      </c>
      <c r="H98" s="8" t="str">
        <f>TEXT(Table2[[#This Row],[submission_date]],"dddd")</f>
        <v>Tuesday</v>
      </c>
      <c r="I98" s="8">
        <f>Table2[[#This Row],[resolution_date]]-Table2[[#This Row],[submission_date]]</f>
        <v>1.8226246759295464</v>
      </c>
    </row>
    <row r="99" spans="1:9" x14ac:dyDescent="0.35">
      <c r="A99" s="5" t="s">
        <v>222</v>
      </c>
      <c r="B99" s="6">
        <v>45863.88633465278</v>
      </c>
      <c r="C99" s="6">
        <v>45870.561789224535</v>
      </c>
      <c r="D99" s="5" t="s">
        <v>21</v>
      </c>
      <c r="E99" s="5" t="s">
        <v>32</v>
      </c>
      <c r="F99" s="5" t="s">
        <v>223</v>
      </c>
      <c r="G99" s="5" t="s">
        <v>29</v>
      </c>
      <c r="H99" s="8" t="str">
        <f>TEXT(Table2[[#This Row],[submission_date]],"dddd")</f>
        <v>Friday</v>
      </c>
      <c r="I99" s="8">
        <f>Table2[[#This Row],[resolution_date]]-Table2[[#This Row],[submission_date]]</f>
        <v>6.6754545717558358</v>
      </c>
    </row>
    <row r="100" spans="1:9" x14ac:dyDescent="0.35">
      <c r="A100" s="5" t="s">
        <v>224</v>
      </c>
      <c r="B100" s="6">
        <v>45914.807502268515</v>
      </c>
      <c r="C100" s="6">
        <v>45914.935071701388</v>
      </c>
      <c r="D100" s="5" t="s">
        <v>13</v>
      </c>
      <c r="E100" s="5" t="s">
        <v>14</v>
      </c>
      <c r="F100" s="5" t="s">
        <v>225</v>
      </c>
      <c r="G100" s="5" t="s">
        <v>11</v>
      </c>
      <c r="H100" s="8" t="str">
        <f>TEXT(Table2[[#This Row],[submission_date]],"dddd")</f>
        <v>Sunday</v>
      </c>
      <c r="I100" s="8">
        <f>Table2[[#This Row],[resolution_date]]-Table2[[#This Row],[submission_date]]</f>
        <v>0.12756943287240574</v>
      </c>
    </row>
    <row r="101" spans="1:9" x14ac:dyDescent="0.35">
      <c r="A101" s="5" t="s">
        <v>226</v>
      </c>
      <c r="B101" s="6">
        <v>45869.010687291666</v>
      </c>
      <c r="C101" s="6">
        <v>45869.377826099539</v>
      </c>
      <c r="D101" s="5" t="s">
        <v>21</v>
      </c>
      <c r="E101" s="5" t="s">
        <v>25</v>
      </c>
      <c r="F101" s="5" t="s">
        <v>227</v>
      </c>
      <c r="G101" s="5" t="s">
        <v>16</v>
      </c>
      <c r="H101" s="8" t="str">
        <f>TEXT(Table2[[#This Row],[submission_date]],"dddd")</f>
        <v>Thursday</v>
      </c>
      <c r="I101" s="8">
        <f>Table2[[#This Row],[resolution_date]]-Table2[[#This Row],[submission_date]]</f>
        <v>0.36713880787283415</v>
      </c>
    </row>
    <row r="102" spans="1:9" x14ac:dyDescent="0.35">
      <c r="A102" s="5" t="s">
        <v>228</v>
      </c>
      <c r="B102" s="6">
        <v>45886.551199293979</v>
      </c>
      <c r="C102" s="6">
        <v>45886.637387997682</v>
      </c>
      <c r="D102" s="5" t="s">
        <v>13</v>
      </c>
      <c r="E102" s="5" t="s">
        <v>32</v>
      </c>
      <c r="F102" s="5" t="s">
        <v>229</v>
      </c>
      <c r="G102" s="5" t="s">
        <v>115</v>
      </c>
      <c r="H102" s="8" t="str">
        <f>TEXT(Table2[[#This Row],[submission_date]],"dddd")</f>
        <v>Sunday</v>
      </c>
      <c r="I102" s="8">
        <f>Table2[[#This Row],[resolution_date]]-Table2[[#This Row],[submission_date]]</f>
        <v>8.6188703702646308E-2</v>
      </c>
    </row>
    <row r="103" spans="1:9" x14ac:dyDescent="0.35">
      <c r="A103" s="5" t="s">
        <v>230</v>
      </c>
      <c r="B103" s="6">
        <v>45911.538317349536</v>
      </c>
      <c r="C103" s="6">
        <v>45913.271872893522</v>
      </c>
      <c r="D103" s="5" t="s">
        <v>13</v>
      </c>
      <c r="E103" s="5" t="s">
        <v>42</v>
      </c>
      <c r="F103" s="5" t="s">
        <v>231</v>
      </c>
      <c r="G103" s="5" t="s">
        <v>16</v>
      </c>
      <c r="H103" s="8" t="str">
        <f>TEXT(Table2[[#This Row],[submission_date]],"dddd")</f>
        <v>Thursday</v>
      </c>
      <c r="I103" s="8">
        <f>Table2[[#This Row],[resolution_date]]-Table2[[#This Row],[submission_date]]</f>
        <v>1.7335555439858581</v>
      </c>
    </row>
    <row r="104" spans="1:9" x14ac:dyDescent="0.35">
      <c r="A104" s="5" t="s">
        <v>232</v>
      </c>
      <c r="B104" s="6">
        <v>45839.36759386574</v>
      </c>
      <c r="C104" s="6">
        <v>45840.472722094906</v>
      </c>
      <c r="D104" s="5" t="s">
        <v>8</v>
      </c>
      <c r="E104" s="5" t="s">
        <v>32</v>
      </c>
      <c r="F104" s="5" t="s">
        <v>233</v>
      </c>
      <c r="G104" s="5" t="s">
        <v>29</v>
      </c>
      <c r="H104" s="8" t="str">
        <f>TEXT(Table2[[#This Row],[submission_date]],"dddd")</f>
        <v>Tuesday</v>
      </c>
      <c r="I104" s="8">
        <f>Table2[[#This Row],[resolution_date]]-Table2[[#This Row],[submission_date]]</f>
        <v>1.1051282291664393</v>
      </c>
    </row>
    <row r="105" spans="1:9" x14ac:dyDescent="0.35">
      <c r="A105" s="5" t="s">
        <v>234</v>
      </c>
      <c r="B105" s="6">
        <v>45833.941698634262</v>
      </c>
      <c r="C105" s="6">
        <v>45834.416492488424</v>
      </c>
      <c r="D105" s="5" t="s">
        <v>13</v>
      </c>
      <c r="E105" s="5" t="s">
        <v>55</v>
      </c>
      <c r="F105" s="5" t="s">
        <v>235</v>
      </c>
      <c r="G105" s="5" t="s">
        <v>16</v>
      </c>
      <c r="H105" s="8" t="str">
        <f>TEXT(Table2[[#This Row],[submission_date]],"dddd")</f>
        <v>Wednesday</v>
      </c>
      <c r="I105" s="8">
        <f>Table2[[#This Row],[resolution_date]]-Table2[[#This Row],[submission_date]]</f>
        <v>0.4747938541622716</v>
      </c>
    </row>
    <row r="106" spans="1:9" x14ac:dyDescent="0.35">
      <c r="A106" s="5" t="s">
        <v>236</v>
      </c>
      <c r="B106" s="6">
        <v>45906.263209618053</v>
      </c>
      <c r="C106" s="6">
        <v>45906.441982453704</v>
      </c>
      <c r="D106" s="5" t="s">
        <v>81</v>
      </c>
      <c r="E106" s="5" t="s">
        <v>55</v>
      </c>
      <c r="F106" s="5" t="s">
        <v>237</v>
      </c>
      <c r="G106" s="5" t="s">
        <v>11</v>
      </c>
      <c r="H106" s="8" t="str">
        <f>TEXT(Table2[[#This Row],[submission_date]],"dddd")</f>
        <v>Saturday</v>
      </c>
      <c r="I106" s="8">
        <f>Table2[[#This Row],[resolution_date]]-Table2[[#This Row],[submission_date]]</f>
        <v>0.17877283565030666</v>
      </c>
    </row>
    <row r="107" spans="1:9" x14ac:dyDescent="0.35">
      <c r="A107" s="5" t="s">
        <v>238</v>
      </c>
      <c r="B107" s="6">
        <v>45872.281321724535</v>
      </c>
      <c r="C107" s="6">
        <v>45874.695412037036</v>
      </c>
      <c r="D107" s="5" t="s">
        <v>45</v>
      </c>
      <c r="E107" s="5" t="s">
        <v>46</v>
      </c>
      <c r="F107" s="5" t="s">
        <v>239</v>
      </c>
      <c r="G107" s="5" t="s">
        <v>29</v>
      </c>
      <c r="H107" s="8" t="str">
        <f>TEXT(Table2[[#This Row],[submission_date]],"dddd")</f>
        <v>Sunday</v>
      </c>
      <c r="I107" s="8">
        <f>Table2[[#This Row],[resolution_date]]-Table2[[#This Row],[submission_date]]</f>
        <v>2.4140903125007753</v>
      </c>
    </row>
    <row r="108" spans="1:9" x14ac:dyDescent="0.35">
      <c r="A108" s="5" t="s">
        <v>240</v>
      </c>
      <c r="B108" s="6">
        <v>45886.512519641205</v>
      </c>
      <c r="C108" s="6">
        <v>45887.770572569447</v>
      </c>
      <c r="D108" s="5" t="s">
        <v>81</v>
      </c>
      <c r="E108" s="5" t="s">
        <v>18</v>
      </c>
      <c r="F108" s="5" t="s">
        <v>241</v>
      </c>
      <c r="G108" s="5" t="s">
        <v>16</v>
      </c>
      <c r="H108" s="8" t="str">
        <f>TEXT(Table2[[#This Row],[submission_date]],"dddd")</f>
        <v>Sunday</v>
      </c>
      <c r="I108" s="8">
        <f>Table2[[#This Row],[resolution_date]]-Table2[[#This Row],[submission_date]]</f>
        <v>1.2580529282422503</v>
      </c>
    </row>
    <row r="109" spans="1:9" x14ac:dyDescent="0.35">
      <c r="A109" s="5" t="s">
        <v>242</v>
      </c>
      <c r="B109" s="6">
        <v>45866.620971516204</v>
      </c>
      <c r="C109" s="6">
        <v>45869.341103599538</v>
      </c>
      <c r="D109" s="5" t="s">
        <v>21</v>
      </c>
      <c r="E109" s="5" t="s">
        <v>14</v>
      </c>
      <c r="F109" s="5" t="s">
        <v>243</v>
      </c>
      <c r="G109" s="5" t="s">
        <v>29</v>
      </c>
      <c r="H109" s="8" t="str">
        <f>TEXT(Table2[[#This Row],[submission_date]],"dddd")</f>
        <v>Monday</v>
      </c>
      <c r="I109" s="8">
        <f>Table2[[#This Row],[resolution_date]]-Table2[[#This Row],[submission_date]]</f>
        <v>2.7201320833337377</v>
      </c>
    </row>
    <row r="110" spans="1:9" x14ac:dyDescent="0.35">
      <c r="A110" s="5" t="s">
        <v>244</v>
      </c>
      <c r="B110" s="6">
        <v>45850.289993865743</v>
      </c>
      <c r="C110" s="6">
        <v>45850.497444108798</v>
      </c>
      <c r="D110" s="5" t="s">
        <v>21</v>
      </c>
      <c r="E110" s="5" t="s">
        <v>18</v>
      </c>
      <c r="F110" s="5" t="s">
        <v>245</v>
      </c>
      <c r="G110" s="5" t="s">
        <v>11</v>
      </c>
      <c r="H110" s="8" t="str">
        <f>TEXT(Table2[[#This Row],[submission_date]],"dddd")</f>
        <v>Saturday</v>
      </c>
      <c r="I110" s="8">
        <f>Table2[[#This Row],[resolution_date]]-Table2[[#This Row],[submission_date]]</f>
        <v>0.20745024305506377</v>
      </c>
    </row>
    <row r="111" spans="1:9" x14ac:dyDescent="0.35">
      <c r="A111" s="5" t="s">
        <v>246</v>
      </c>
      <c r="B111" s="6">
        <v>45851.016814189818</v>
      </c>
      <c r="C111" s="6">
        <v>45857.933740289351</v>
      </c>
      <c r="D111" s="5" t="s">
        <v>13</v>
      </c>
      <c r="E111" s="5" t="s">
        <v>18</v>
      </c>
      <c r="F111" s="5" t="s">
        <v>247</v>
      </c>
      <c r="G111" s="5" t="s">
        <v>29</v>
      </c>
      <c r="H111" s="8" t="str">
        <f>TEXT(Table2[[#This Row],[submission_date]],"dddd")</f>
        <v>Sunday</v>
      </c>
      <c r="I111" s="8">
        <f>Table2[[#This Row],[resolution_date]]-Table2[[#This Row],[submission_date]]</f>
        <v>6.916926099533157</v>
      </c>
    </row>
    <row r="112" spans="1:9" x14ac:dyDescent="0.35">
      <c r="A112" s="5" t="s">
        <v>248</v>
      </c>
      <c r="B112" s="6">
        <v>45852.247494618059</v>
      </c>
      <c r="C112" s="6">
        <v>45852.52489966435</v>
      </c>
      <c r="D112" s="5" t="s">
        <v>31</v>
      </c>
      <c r="E112" s="5" t="s">
        <v>42</v>
      </c>
      <c r="F112" s="5" t="s">
        <v>249</v>
      </c>
      <c r="G112" s="5" t="s">
        <v>11</v>
      </c>
      <c r="H112" s="8" t="str">
        <f>TEXT(Table2[[#This Row],[submission_date]],"dddd")</f>
        <v>Monday</v>
      </c>
      <c r="I112" s="8">
        <f>Table2[[#This Row],[resolution_date]]-Table2[[#This Row],[submission_date]]</f>
        <v>0.27740504629036877</v>
      </c>
    </row>
    <row r="113" spans="1:9" x14ac:dyDescent="0.35">
      <c r="A113" s="5" t="s">
        <v>250</v>
      </c>
      <c r="B113" s="6">
        <v>45897.479103912039</v>
      </c>
      <c r="C113" s="6">
        <v>45904.444584293982</v>
      </c>
      <c r="D113" s="5" t="s">
        <v>13</v>
      </c>
      <c r="E113" s="5" t="s">
        <v>18</v>
      </c>
      <c r="F113" s="5" t="s">
        <v>251</v>
      </c>
      <c r="G113" s="5" t="s">
        <v>29</v>
      </c>
      <c r="H113" s="8" t="str">
        <f>TEXT(Table2[[#This Row],[submission_date]],"dddd")</f>
        <v>Thursday</v>
      </c>
      <c r="I113" s="8">
        <f>Table2[[#This Row],[resolution_date]]-Table2[[#This Row],[submission_date]]</f>
        <v>6.9654803819430526</v>
      </c>
    </row>
    <row r="114" spans="1:9" x14ac:dyDescent="0.35">
      <c r="A114" s="5" t="s">
        <v>252</v>
      </c>
      <c r="B114" s="6">
        <v>45897.33485097222</v>
      </c>
      <c r="C114" s="6">
        <v>45902.195088425928</v>
      </c>
      <c r="D114" s="5" t="s">
        <v>60</v>
      </c>
      <c r="E114" s="5" t="s">
        <v>14</v>
      </c>
      <c r="F114" s="5" t="s">
        <v>253</v>
      </c>
      <c r="G114" s="5" t="s">
        <v>29</v>
      </c>
      <c r="H114" s="8" t="str">
        <f>TEXT(Table2[[#This Row],[submission_date]],"dddd")</f>
        <v>Thursday</v>
      </c>
      <c r="I114" s="8">
        <f>Table2[[#This Row],[resolution_date]]-Table2[[#This Row],[submission_date]]</f>
        <v>4.8602374537076685</v>
      </c>
    </row>
    <row r="115" spans="1:9" x14ac:dyDescent="0.35">
      <c r="A115" s="5" t="s">
        <v>254</v>
      </c>
      <c r="B115" s="6">
        <v>45889.472084976849</v>
      </c>
      <c r="C115" s="6">
        <v>45889.563600474539</v>
      </c>
      <c r="D115" s="5" t="s">
        <v>21</v>
      </c>
      <c r="E115" s="5" t="s">
        <v>22</v>
      </c>
      <c r="F115" s="5" t="s">
        <v>255</v>
      </c>
      <c r="G115" s="5" t="s">
        <v>11</v>
      </c>
      <c r="H115" s="8" t="str">
        <f>TEXT(Table2[[#This Row],[submission_date]],"dddd")</f>
        <v>Wednesday</v>
      </c>
      <c r="I115" s="8">
        <f>Table2[[#This Row],[resolution_date]]-Table2[[#This Row],[submission_date]]</f>
        <v>9.1515497690124903E-2</v>
      </c>
    </row>
    <row r="116" spans="1:9" x14ac:dyDescent="0.35">
      <c r="A116" s="5" t="s">
        <v>256</v>
      </c>
      <c r="B116" s="6">
        <v>45834.277258101851</v>
      </c>
      <c r="C116" s="6">
        <v>45834.880186099537</v>
      </c>
      <c r="D116" s="5" t="s">
        <v>8</v>
      </c>
      <c r="E116" s="5" t="s">
        <v>25</v>
      </c>
      <c r="F116" s="5" t="s">
        <v>257</v>
      </c>
      <c r="G116" s="5" t="s">
        <v>16</v>
      </c>
      <c r="H116" s="8" t="str">
        <f>TEXT(Table2[[#This Row],[submission_date]],"dddd")</f>
        <v>Thursday</v>
      </c>
      <c r="I116" s="8">
        <f>Table2[[#This Row],[resolution_date]]-Table2[[#This Row],[submission_date]]</f>
        <v>0.60292799768649274</v>
      </c>
    </row>
    <row r="117" spans="1:9" x14ac:dyDescent="0.35">
      <c r="A117" s="5" t="s">
        <v>258</v>
      </c>
      <c r="B117" s="6">
        <v>45904.00158491898</v>
      </c>
      <c r="C117" s="6">
        <v>45908.743611006947</v>
      </c>
      <c r="D117" s="5" t="s">
        <v>31</v>
      </c>
      <c r="E117" s="5" t="s">
        <v>55</v>
      </c>
      <c r="F117" s="5" t="s">
        <v>259</v>
      </c>
      <c r="G117" s="5" t="s">
        <v>29</v>
      </c>
      <c r="H117" s="8" t="str">
        <f>TEXT(Table2[[#This Row],[submission_date]],"dddd")</f>
        <v>Thursday</v>
      </c>
      <c r="I117" s="8">
        <f>Table2[[#This Row],[resolution_date]]-Table2[[#This Row],[submission_date]]</f>
        <v>4.7420260879662237</v>
      </c>
    </row>
    <row r="118" spans="1:9" x14ac:dyDescent="0.35">
      <c r="A118" s="5" t="s">
        <v>260</v>
      </c>
      <c r="B118" s="6">
        <v>45852.145348541664</v>
      </c>
      <c r="C118" s="6">
        <v>45853.493291354163</v>
      </c>
      <c r="D118" s="5" t="s">
        <v>13</v>
      </c>
      <c r="E118" s="5" t="s">
        <v>18</v>
      </c>
      <c r="F118" s="5" t="s">
        <v>261</v>
      </c>
      <c r="G118" s="5" t="s">
        <v>16</v>
      </c>
      <c r="H118" s="8" t="str">
        <f>TEXT(Table2[[#This Row],[submission_date]],"dddd")</f>
        <v>Monday</v>
      </c>
      <c r="I118" s="8">
        <f>Table2[[#This Row],[resolution_date]]-Table2[[#This Row],[submission_date]]</f>
        <v>1.347942812499241</v>
      </c>
    </row>
    <row r="119" spans="1:9" x14ac:dyDescent="0.35">
      <c r="A119" s="5" t="s">
        <v>262</v>
      </c>
      <c r="B119" s="6">
        <v>45862.277817847222</v>
      </c>
      <c r="C119" s="6">
        <v>45864.09636747685</v>
      </c>
      <c r="D119" s="5" t="s">
        <v>31</v>
      </c>
      <c r="E119" s="5" t="s">
        <v>46</v>
      </c>
      <c r="F119" s="5" t="s">
        <v>263</v>
      </c>
      <c r="G119" s="5" t="s">
        <v>16</v>
      </c>
      <c r="H119" s="8" t="str">
        <f>TEXT(Table2[[#This Row],[submission_date]],"dddd")</f>
        <v>Thursday</v>
      </c>
      <c r="I119" s="8">
        <f>Table2[[#This Row],[resolution_date]]-Table2[[#This Row],[submission_date]]</f>
        <v>1.8185496296282508</v>
      </c>
    </row>
    <row r="120" spans="1:9" x14ac:dyDescent="0.35">
      <c r="A120" s="5" t="s">
        <v>264</v>
      </c>
      <c r="B120" s="6">
        <v>45872.946095937499</v>
      </c>
      <c r="C120" s="6">
        <v>45879.541631354165</v>
      </c>
      <c r="D120" s="5" t="s">
        <v>81</v>
      </c>
      <c r="E120" s="5" t="s">
        <v>32</v>
      </c>
      <c r="F120" s="5" t="s">
        <v>265</v>
      </c>
      <c r="G120" s="5" t="s">
        <v>29</v>
      </c>
      <c r="H120" s="8" t="str">
        <f>TEXT(Table2[[#This Row],[submission_date]],"dddd")</f>
        <v>Sunday</v>
      </c>
      <c r="I120" s="8">
        <f>Table2[[#This Row],[resolution_date]]-Table2[[#This Row],[submission_date]]</f>
        <v>6.5955354166653706</v>
      </c>
    </row>
    <row r="121" spans="1:9" x14ac:dyDescent="0.35">
      <c r="A121" s="5" t="s">
        <v>266</v>
      </c>
      <c r="B121" s="6">
        <v>45850.010814976849</v>
      </c>
      <c r="C121" s="6">
        <v>45850.795333125003</v>
      </c>
      <c r="D121" s="5" t="s">
        <v>21</v>
      </c>
      <c r="E121" s="5" t="s">
        <v>14</v>
      </c>
      <c r="F121" s="5" t="s">
        <v>267</v>
      </c>
      <c r="G121" s="5" t="s">
        <v>16</v>
      </c>
      <c r="H121" s="8" t="str">
        <f>TEXT(Table2[[#This Row],[submission_date]],"dddd")</f>
        <v>Saturday</v>
      </c>
      <c r="I121" s="8">
        <f>Table2[[#This Row],[resolution_date]]-Table2[[#This Row],[submission_date]]</f>
        <v>0.78451814815343823</v>
      </c>
    </row>
    <row r="122" spans="1:9" x14ac:dyDescent="0.35">
      <c r="A122" s="5" t="s">
        <v>268</v>
      </c>
      <c r="B122" s="6">
        <v>45857.543304513893</v>
      </c>
      <c r="C122" s="6">
        <v>45858.309298784719</v>
      </c>
      <c r="D122" s="5" t="s">
        <v>8</v>
      </c>
      <c r="E122" s="5" t="s">
        <v>25</v>
      </c>
      <c r="F122" s="5" t="s">
        <v>269</v>
      </c>
      <c r="G122" s="5" t="s">
        <v>16</v>
      </c>
      <c r="H122" s="8" t="str">
        <f>TEXT(Table2[[#This Row],[submission_date]],"dddd")</f>
        <v>Saturday</v>
      </c>
      <c r="I122" s="8">
        <f>Table2[[#This Row],[resolution_date]]-Table2[[#This Row],[submission_date]]</f>
        <v>0.76599427082692273</v>
      </c>
    </row>
    <row r="123" spans="1:9" x14ac:dyDescent="0.35">
      <c r="A123" s="5" t="s">
        <v>270</v>
      </c>
      <c r="B123" s="6">
        <v>45837.839233402781</v>
      </c>
      <c r="C123" s="6">
        <v>45838.438694236109</v>
      </c>
      <c r="D123" s="5" t="s">
        <v>31</v>
      </c>
      <c r="E123" s="5" t="s">
        <v>42</v>
      </c>
      <c r="F123" s="5" t="s">
        <v>271</v>
      </c>
      <c r="G123" s="5" t="s">
        <v>16</v>
      </c>
      <c r="H123" s="8" t="str">
        <f>TEXT(Table2[[#This Row],[submission_date]],"dddd")</f>
        <v>Sunday</v>
      </c>
      <c r="I123" s="8">
        <f>Table2[[#This Row],[resolution_date]]-Table2[[#This Row],[submission_date]]</f>
        <v>0.59946083332761191</v>
      </c>
    </row>
    <row r="124" spans="1:9" x14ac:dyDescent="0.35">
      <c r="A124" s="5" t="s">
        <v>272</v>
      </c>
      <c r="B124" s="6">
        <v>45867.618249085652</v>
      </c>
      <c r="C124" s="6">
        <v>45868.392216446759</v>
      </c>
      <c r="D124" s="5" t="s">
        <v>13</v>
      </c>
      <c r="E124" s="5" t="s">
        <v>9</v>
      </c>
      <c r="F124" s="5" t="s">
        <v>273</v>
      </c>
      <c r="G124" s="5" t="s">
        <v>16</v>
      </c>
      <c r="H124" s="8" t="str">
        <f>TEXT(Table2[[#This Row],[submission_date]],"dddd")</f>
        <v>Tuesday</v>
      </c>
      <c r="I124" s="8">
        <f>Table2[[#This Row],[resolution_date]]-Table2[[#This Row],[submission_date]]</f>
        <v>0.77396736110677011</v>
      </c>
    </row>
    <row r="125" spans="1:9" x14ac:dyDescent="0.35">
      <c r="A125" s="5" t="s">
        <v>274</v>
      </c>
      <c r="B125" s="6">
        <v>45888.049664409722</v>
      </c>
      <c r="C125" s="6">
        <v>45889.796211516201</v>
      </c>
      <c r="D125" s="5" t="s">
        <v>45</v>
      </c>
      <c r="E125" s="5" t="s">
        <v>14</v>
      </c>
      <c r="F125" s="5" t="s">
        <v>275</v>
      </c>
      <c r="G125" s="5" t="s">
        <v>16</v>
      </c>
      <c r="H125" s="8" t="str">
        <f>TEXT(Table2[[#This Row],[submission_date]],"dddd")</f>
        <v>Tuesday</v>
      </c>
      <c r="I125" s="8">
        <f>Table2[[#This Row],[resolution_date]]-Table2[[#This Row],[submission_date]]</f>
        <v>1.7465471064788289</v>
      </c>
    </row>
    <row r="126" spans="1:9" x14ac:dyDescent="0.35">
      <c r="A126" s="5" t="s">
        <v>276</v>
      </c>
      <c r="B126" s="6">
        <v>45833.252764166667</v>
      </c>
      <c r="C126" s="6">
        <v>45833.782323101848</v>
      </c>
      <c r="D126" s="5" t="s">
        <v>81</v>
      </c>
      <c r="E126" s="5" t="s">
        <v>55</v>
      </c>
      <c r="F126" s="5" t="s">
        <v>277</v>
      </c>
      <c r="G126" s="5" t="s">
        <v>16</v>
      </c>
      <c r="H126" s="8" t="str">
        <f>TEXT(Table2[[#This Row],[submission_date]],"dddd")</f>
        <v>Wednesday</v>
      </c>
      <c r="I126" s="8">
        <f>Table2[[#This Row],[resolution_date]]-Table2[[#This Row],[submission_date]]</f>
        <v>0.5295589351808303</v>
      </c>
    </row>
    <row r="127" spans="1:9" x14ac:dyDescent="0.35">
      <c r="A127" s="5" t="s">
        <v>278</v>
      </c>
      <c r="B127" s="6">
        <v>45871.769415833332</v>
      </c>
      <c r="C127" s="6">
        <v>45872.507896226853</v>
      </c>
      <c r="D127" s="5" t="s">
        <v>81</v>
      </c>
      <c r="E127" s="5" t="s">
        <v>22</v>
      </c>
      <c r="F127" s="5" t="s">
        <v>279</v>
      </c>
      <c r="G127" s="5" t="s">
        <v>16</v>
      </c>
      <c r="H127" s="8" t="str">
        <f>TEXT(Table2[[#This Row],[submission_date]],"dddd")</f>
        <v>Saturday</v>
      </c>
      <c r="I127" s="8">
        <f>Table2[[#This Row],[resolution_date]]-Table2[[#This Row],[submission_date]]</f>
        <v>0.73848039352014894</v>
      </c>
    </row>
    <row r="128" spans="1:9" x14ac:dyDescent="0.35">
      <c r="A128" s="5" t="s">
        <v>280</v>
      </c>
      <c r="B128" s="6">
        <v>45895.01577233796</v>
      </c>
      <c r="C128" s="6">
        <v>45898.961600011571</v>
      </c>
      <c r="D128" s="5" t="s">
        <v>21</v>
      </c>
      <c r="E128" s="5" t="s">
        <v>32</v>
      </c>
      <c r="F128" s="5" t="s">
        <v>281</v>
      </c>
      <c r="G128" s="5" t="s">
        <v>29</v>
      </c>
      <c r="H128" s="8" t="str">
        <f>TEXT(Table2[[#This Row],[submission_date]],"dddd")</f>
        <v>Tuesday</v>
      </c>
      <c r="I128" s="8">
        <f>Table2[[#This Row],[resolution_date]]-Table2[[#This Row],[submission_date]]</f>
        <v>3.9458276736113476</v>
      </c>
    </row>
    <row r="129" spans="1:9" x14ac:dyDescent="0.35">
      <c r="A129" s="5" t="s">
        <v>282</v>
      </c>
      <c r="B129" s="6">
        <v>45855.641187476853</v>
      </c>
      <c r="C129" s="6">
        <v>45860.058005162035</v>
      </c>
      <c r="D129" s="5" t="s">
        <v>13</v>
      </c>
      <c r="E129" s="5" t="s">
        <v>55</v>
      </c>
      <c r="F129" s="5" t="s">
        <v>283</v>
      </c>
      <c r="G129" s="5" t="s">
        <v>29</v>
      </c>
      <c r="H129" s="8" t="str">
        <f>TEXT(Table2[[#This Row],[submission_date]],"dddd")</f>
        <v>Thursday</v>
      </c>
      <c r="I129" s="8">
        <f>Table2[[#This Row],[resolution_date]]-Table2[[#This Row],[submission_date]]</f>
        <v>4.4168176851817407</v>
      </c>
    </row>
    <row r="130" spans="1:9" x14ac:dyDescent="0.35">
      <c r="A130" s="5" t="s">
        <v>284</v>
      </c>
      <c r="B130" s="6">
        <v>45909.709815717593</v>
      </c>
      <c r="C130" s="6">
        <v>45910.054590312502</v>
      </c>
      <c r="D130" s="5" t="s">
        <v>45</v>
      </c>
      <c r="E130" s="5" t="s">
        <v>18</v>
      </c>
      <c r="F130" s="5" t="s">
        <v>285</v>
      </c>
      <c r="G130" s="5" t="s">
        <v>11</v>
      </c>
      <c r="H130" s="8" t="str">
        <f>TEXT(Table2[[#This Row],[submission_date]],"dddd")</f>
        <v>Tuesday</v>
      </c>
      <c r="I130" s="8">
        <f>Table2[[#This Row],[resolution_date]]-Table2[[#This Row],[submission_date]]</f>
        <v>0.34477459490881301</v>
      </c>
    </row>
    <row r="131" spans="1:9" x14ac:dyDescent="0.35">
      <c r="A131" s="5" t="s">
        <v>286</v>
      </c>
      <c r="B131" s="6">
        <v>45906.729388576387</v>
      </c>
      <c r="C131" s="6">
        <v>45908.672971944441</v>
      </c>
      <c r="D131" s="5" t="s">
        <v>8</v>
      </c>
      <c r="E131" s="5" t="s">
        <v>14</v>
      </c>
      <c r="F131" s="5" t="s">
        <v>287</v>
      </c>
      <c r="G131" s="5" t="s">
        <v>16</v>
      </c>
      <c r="H131" s="8" t="str">
        <f>TEXT(Table2[[#This Row],[submission_date]],"dddd")</f>
        <v>Saturday</v>
      </c>
      <c r="I131" s="8">
        <f>Table2[[#This Row],[resolution_date]]-Table2[[#This Row],[submission_date]]</f>
        <v>1.9435833680545329</v>
      </c>
    </row>
    <row r="132" spans="1:9" x14ac:dyDescent="0.35">
      <c r="A132" s="5" t="s">
        <v>288</v>
      </c>
      <c r="B132" s="6">
        <v>45910.871020706021</v>
      </c>
      <c r="C132" s="6">
        <v>45912.692476354168</v>
      </c>
      <c r="D132" s="5" t="s">
        <v>81</v>
      </c>
      <c r="E132" s="5" t="s">
        <v>35</v>
      </c>
      <c r="F132" s="5" t="s">
        <v>289</v>
      </c>
      <c r="G132" s="5" t="s">
        <v>29</v>
      </c>
      <c r="H132" s="8" t="str">
        <f>TEXT(Table2[[#This Row],[submission_date]],"dddd")</f>
        <v>Wednesday</v>
      </c>
      <c r="I132" s="8">
        <f>Table2[[#This Row],[resolution_date]]-Table2[[#This Row],[submission_date]]</f>
        <v>1.8214556481470936</v>
      </c>
    </row>
    <row r="133" spans="1:9" x14ac:dyDescent="0.35">
      <c r="A133" s="5" t="s">
        <v>290</v>
      </c>
      <c r="B133" s="6">
        <v>45879.520755300924</v>
      </c>
      <c r="C133" s="6">
        <v>45883.389230601853</v>
      </c>
      <c r="D133" s="5" t="s">
        <v>81</v>
      </c>
      <c r="E133" s="5" t="s">
        <v>18</v>
      </c>
      <c r="F133" s="5" t="s">
        <v>291</v>
      </c>
      <c r="G133" s="5" t="s">
        <v>29</v>
      </c>
      <c r="H133" s="8" t="str">
        <f>TEXT(Table2[[#This Row],[submission_date]],"dddd")</f>
        <v>Sunday</v>
      </c>
      <c r="I133" s="8">
        <f>Table2[[#This Row],[resolution_date]]-Table2[[#This Row],[submission_date]]</f>
        <v>3.8684753009292763</v>
      </c>
    </row>
    <row r="134" spans="1:9" x14ac:dyDescent="0.35">
      <c r="A134" s="5" t="s">
        <v>292</v>
      </c>
      <c r="B134" s="6">
        <v>45907.109921354167</v>
      </c>
      <c r="C134" s="6">
        <v>45910.587372002316</v>
      </c>
      <c r="D134" s="5" t="s">
        <v>8</v>
      </c>
      <c r="E134" s="5" t="s">
        <v>42</v>
      </c>
      <c r="F134" s="5" t="s">
        <v>293</v>
      </c>
      <c r="G134" s="5" t="s">
        <v>29</v>
      </c>
      <c r="H134" s="8" t="str">
        <f>TEXT(Table2[[#This Row],[submission_date]],"dddd")</f>
        <v>Sunday</v>
      </c>
      <c r="I134" s="8">
        <f>Table2[[#This Row],[resolution_date]]-Table2[[#This Row],[submission_date]]</f>
        <v>3.4774506481480785</v>
      </c>
    </row>
    <row r="135" spans="1:9" x14ac:dyDescent="0.35">
      <c r="A135" s="5" t="s">
        <v>294</v>
      </c>
      <c r="B135" s="6">
        <v>45859.296687372684</v>
      </c>
      <c r="C135" s="6">
        <v>45859.711959270833</v>
      </c>
      <c r="D135" s="5" t="s">
        <v>31</v>
      </c>
      <c r="E135" s="5" t="s">
        <v>22</v>
      </c>
      <c r="F135" s="5" t="s">
        <v>295</v>
      </c>
      <c r="G135" s="5" t="s">
        <v>11</v>
      </c>
      <c r="H135" s="8" t="str">
        <f>TEXT(Table2[[#This Row],[submission_date]],"dddd")</f>
        <v>Monday</v>
      </c>
      <c r="I135" s="8">
        <f>Table2[[#This Row],[resolution_date]]-Table2[[#This Row],[submission_date]]</f>
        <v>0.41527189814951271</v>
      </c>
    </row>
    <row r="136" spans="1:9" x14ac:dyDescent="0.35">
      <c r="A136" s="5" t="s">
        <v>296</v>
      </c>
      <c r="B136" s="6">
        <v>45884.043633368055</v>
      </c>
      <c r="C136" s="6">
        <v>45891.026826423615</v>
      </c>
      <c r="D136" s="5" t="s">
        <v>8</v>
      </c>
      <c r="E136" s="5" t="s">
        <v>32</v>
      </c>
      <c r="F136" s="5" t="s">
        <v>297</v>
      </c>
      <c r="G136" s="5" t="s">
        <v>29</v>
      </c>
      <c r="H136" s="8" t="str">
        <f>TEXT(Table2[[#This Row],[submission_date]],"dddd")</f>
        <v>Friday</v>
      </c>
      <c r="I136" s="8">
        <f>Table2[[#This Row],[resolution_date]]-Table2[[#This Row],[submission_date]]</f>
        <v>6.9831930555592407</v>
      </c>
    </row>
    <row r="137" spans="1:9" x14ac:dyDescent="0.35">
      <c r="A137" s="5" t="s">
        <v>298</v>
      </c>
      <c r="B137" s="6">
        <v>45832.24807454861</v>
      </c>
      <c r="C137" s="6">
        <v>45837.032086712963</v>
      </c>
      <c r="D137" s="5" t="s">
        <v>60</v>
      </c>
      <c r="E137" s="5" t="s">
        <v>35</v>
      </c>
      <c r="F137" s="5" t="s">
        <v>299</v>
      </c>
      <c r="G137" s="5" t="s">
        <v>29</v>
      </c>
      <c r="H137" s="8" t="str">
        <f>TEXT(Table2[[#This Row],[submission_date]],"dddd")</f>
        <v>Tuesday</v>
      </c>
      <c r="I137" s="8">
        <f>Table2[[#This Row],[resolution_date]]-Table2[[#This Row],[submission_date]]</f>
        <v>4.7840121643530438</v>
      </c>
    </row>
    <row r="138" spans="1:9" x14ac:dyDescent="0.35">
      <c r="A138" s="5" t="s">
        <v>300</v>
      </c>
      <c r="B138" s="6">
        <v>45914.743208043983</v>
      </c>
      <c r="C138" s="6">
        <v>45917.991188726854</v>
      </c>
      <c r="D138" s="5" t="s">
        <v>21</v>
      </c>
      <c r="E138" s="5" t="s">
        <v>35</v>
      </c>
      <c r="F138" s="5" t="s">
        <v>301</v>
      </c>
      <c r="G138" s="5" t="s">
        <v>29</v>
      </c>
      <c r="H138" s="8" t="str">
        <f>TEXT(Table2[[#This Row],[submission_date]],"dddd")</f>
        <v>Sunday</v>
      </c>
      <c r="I138" s="8">
        <f>Table2[[#This Row],[resolution_date]]-Table2[[#This Row],[submission_date]]</f>
        <v>3.2479806828705478</v>
      </c>
    </row>
    <row r="139" spans="1:9" x14ac:dyDescent="0.35">
      <c r="A139" s="5" t="s">
        <v>302</v>
      </c>
      <c r="B139" s="6">
        <v>45837.385131631941</v>
      </c>
      <c r="C139" s="6">
        <v>45838.970033020836</v>
      </c>
      <c r="D139" s="5" t="s">
        <v>21</v>
      </c>
      <c r="E139" s="5" t="s">
        <v>14</v>
      </c>
      <c r="F139" s="5" t="s">
        <v>303</v>
      </c>
      <c r="G139" s="5" t="s">
        <v>29</v>
      </c>
      <c r="H139" s="8" t="str">
        <f>TEXT(Table2[[#This Row],[submission_date]],"dddd")</f>
        <v>Sunday</v>
      </c>
      <c r="I139" s="8">
        <f>Table2[[#This Row],[resolution_date]]-Table2[[#This Row],[submission_date]]</f>
        <v>1.5849013888946502</v>
      </c>
    </row>
    <row r="140" spans="1:9" x14ac:dyDescent="0.35">
      <c r="A140" s="5" t="s">
        <v>304</v>
      </c>
      <c r="B140" s="6">
        <v>45888.557472025466</v>
      </c>
      <c r="C140" s="6">
        <v>45889.528593067131</v>
      </c>
      <c r="D140" s="5" t="s">
        <v>13</v>
      </c>
      <c r="E140" s="5" t="s">
        <v>9</v>
      </c>
      <c r="F140" s="5" t="s">
        <v>305</v>
      </c>
      <c r="G140" s="5" t="s">
        <v>16</v>
      </c>
      <c r="H140" s="8" t="str">
        <f>TEXT(Table2[[#This Row],[submission_date]],"dddd")</f>
        <v>Tuesday</v>
      </c>
      <c r="I140" s="8">
        <f>Table2[[#This Row],[resolution_date]]-Table2[[#This Row],[submission_date]]</f>
        <v>0.97112104166444624</v>
      </c>
    </row>
    <row r="141" spans="1:9" x14ac:dyDescent="0.35">
      <c r="A141" s="5" t="s">
        <v>306</v>
      </c>
      <c r="B141" s="6">
        <v>45890.610338888888</v>
      </c>
      <c r="C141" s="6">
        <v>45896.433827546294</v>
      </c>
      <c r="D141" s="5" t="s">
        <v>45</v>
      </c>
      <c r="E141" s="5" t="s">
        <v>35</v>
      </c>
      <c r="F141" s="5" t="s">
        <v>307</v>
      </c>
      <c r="G141" s="5" t="s">
        <v>29</v>
      </c>
      <c r="H141" s="8" t="str">
        <f>TEXT(Table2[[#This Row],[submission_date]],"dddd")</f>
        <v>Thursday</v>
      </c>
      <c r="I141" s="8">
        <f>Table2[[#This Row],[resolution_date]]-Table2[[#This Row],[submission_date]]</f>
        <v>5.8234886574064149</v>
      </c>
    </row>
    <row r="142" spans="1:9" x14ac:dyDescent="0.35">
      <c r="A142" s="5" t="s">
        <v>308</v>
      </c>
      <c r="B142" s="6">
        <v>45874.456965682868</v>
      </c>
      <c r="C142" s="6">
        <v>45875.076861180554</v>
      </c>
      <c r="D142" s="5" t="s">
        <v>21</v>
      </c>
      <c r="E142" s="5" t="s">
        <v>46</v>
      </c>
      <c r="F142" s="5" t="s">
        <v>309</v>
      </c>
      <c r="G142" s="5" t="s">
        <v>16</v>
      </c>
      <c r="H142" s="8" t="str">
        <f>TEXT(Table2[[#This Row],[submission_date]],"dddd")</f>
        <v>Tuesday</v>
      </c>
      <c r="I142" s="8">
        <f>Table2[[#This Row],[resolution_date]]-Table2[[#This Row],[submission_date]]</f>
        <v>0.61989549768622965</v>
      </c>
    </row>
    <row r="143" spans="1:9" x14ac:dyDescent="0.35">
      <c r="A143" s="5" t="s">
        <v>310</v>
      </c>
      <c r="B143" s="6">
        <v>45887.431979837966</v>
      </c>
      <c r="C143" s="6">
        <v>45887.968167638886</v>
      </c>
      <c r="D143" s="5" t="s">
        <v>21</v>
      </c>
      <c r="E143" s="5" t="s">
        <v>9</v>
      </c>
      <c r="F143" s="5" t="s">
        <v>311</v>
      </c>
      <c r="G143" s="5" t="s">
        <v>16</v>
      </c>
      <c r="H143" s="8" t="str">
        <f>TEXT(Table2[[#This Row],[submission_date]],"dddd")</f>
        <v>Monday</v>
      </c>
      <c r="I143" s="8">
        <f>Table2[[#This Row],[resolution_date]]-Table2[[#This Row],[submission_date]]</f>
        <v>0.53618780092074303</v>
      </c>
    </row>
    <row r="144" spans="1:9" x14ac:dyDescent="0.35">
      <c r="A144" s="5" t="s">
        <v>312</v>
      </c>
      <c r="B144" s="6">
        <v>45913.681012118053</v>
      </c>
      <c r="C144" s="6">
        <v>45914.899067337959</v>
      </c>
      <c r="D144" s="5" t="s">
        <v>45</v>
      </c>
      <c r="E144" s="5" t="s">
        <v>25</v>
      </c>
      <c r="F144" s="5" t="s">
        <v>313</v>
      </c>
      <c r="G144" s="5" t="s">
        <v>16</v>
      </c>
      <c r="H144" s="8" t="str">
        <f>TEXT(Table2[[#This Row],[submission_date]],"dddd")</f>
        <v>Saturday</v>
      </c>
      <c r="I144" s="8">
        <f>Table2[[#This Row],[resolution_date]]-Table2[[#This Row],[submission_date]]</f>
        <v>1.2180552199060912</v>
      </c>
    </row>
    <row r="145" spans="1:9" x14ac:dyDescent="0.35">
      <c r="A145" s="5" t="s">
        <v>314</v>
      </c>
      <c r="B145" s="6">
        <v>45872.284382627317</v>
      </c>
      <c r="C145" s="6">
        <v>45875.951124525462</v>
      </c>
      <c r="D145" s="5" t="s">
        <v>21</v>
      </c>
      <c r="E145" s="5" t="s">
        <v>22</v>
      </c>
      <c r="F145" s="5" t="s">
        <v>315</v>
      </c>
      <c r="G145" s="5" t="s">
        <v>29</v>
      </c>
      <c r="H145" s="8" t="str">
        <f>TEXT(Table2[[#This Row],[submission_date]],"dddd")</f>
        <v>Sunday</v>
      </c>
      <c r="I145" s="8">
        <f>Table2[[#This Row],[resolution_date]]-Table2[[#This Row],[submission_date]]</f>
        <v>3.6667418981451192</v>
      </c>
    </row>
    <row r="146" spans="1:9" x14ac:dyDescent="0.35">
      <c r="A146" s="5" t="s">
        <v>316</v>
      </c>
      <c r="B146" s="6">
        <v>45835.128006678242</v>
      </c>
      <c r="C146" s="6">
        <v>45835.63756747685</v>
      </c>
      <c r="D146" s="5" t="s">
        <v>13</v>
      </c>
      <c r="E146" s="5" t="s">
        <v>46</v>
      </c>
      <c r="F146" s="5" t="s">
        <v>317</v>
      </c>
      <c r="G146" s="5" t="s">
        <v>16</v>
      </c>
      <c r="H146" s="8" t="str">
        <f>TEXT(Table2[[#This Row],[submission_date]],"dddd")</f>
        <v>Friday</v>
      </c>
      <c r="I146" s="8">
        <f>Table2[[#This Row],[resolution_date]]-Table2[[#This Row],[submission_date]]</f>
        <v>0.50956079860770842</v>
      </c>
    </row>
    <row r="147" spans="1:9" x14ac:dyDescent="0.35">
      <c r="A147" s="5" t="s">
        <v>318</v>
      </c>
      <c r="B147" s="6">
        <v>45900.65947421296</v>
      </c>
      <c r="C147" s="6">
        <v>45900.743211898145</v>
      </c>
      <c r="D147" s="5" t="s">
        <v>81</v>
      </c>
      <c r="E147" s="5" t="s">
        <v>22</v>
      </c>
      <c r="F147" s="5" t="s">
        <v>319</v>
      </c>
      <c r="G147" s="5" t="s">
        <v>115</v>
      </c>
      <c r="H147" s="8" t="str">
        <f>TEXT(Table2[[#This Row],[submission_date]],"dddd")</f>
        <v>Sunday</v>
      </c>
      <c r="I147" s="8">
        <f>Table2[[#This Row],[resolution_date]]-Table2[[#This Row],[submission_date]]</f>
        <v>8.373768518504221E-2</v>
      </c>
    </row>
    <row r="148" spans="1:9" x14ac:dyDescent="0.35">
      <c r="A148" s="5" t="s">
        <v>320</v>
      </c>
      <c r="B148" s="6">
        <v>45832.460665983795</v>
      </c>
      <c r="C148" s="6">
        <v>45832.787722476853</v>
      </c>
      <c r="D148" s="5" t="s">
        <v>45</v>
      </c>
      <c r="E148" s="5" t="s">
        <v>35</v>
      </c>
      <c r="F148" s="5" t="s">
        <v>321</v>
      </c>
      <c r="G148" s="5" t="s">
        <v>11</v>
      </c>
      <c r="H148" s="8" t="str">
        <f>TEXT(Table2[[#This Row],[submission_date]],"dddd")</f>
        <v>Tuesday</v>
      </c>
      <c r="I148" s="8">
        <f>Table2[[#This Row],[resolution_date]]-Table2[[#This Row],[submission_date]]</f>
        <v>0.32705649305717088</v>
      </c>
    </row>
    <row r="149" spans="1:9" x14ac:dyDescent="0.35">
      <c r="A149" s="5" t="s">
        <v>322</v>
      </c>
      <c r="B149" s="6">
        <v>45902.70604621528</v>
      </c>
      <c r="C149" s="6">
        <v>45906.209134826386</v>
      </c>
      <c r="D149" s="5" t="s">
        <v>60</v>
      </c>
      <c r="E149" s="5" t="s">
        <v>22</v>
      </c>
      <c r="F149" s="5" t="s">
        <v>323</v>
      </c>
      <c r="G149" s="5" t="s">
        <v>29</v>
      </c>
      <c r="H149" s="8" t="str">
        <f>TEXT(Table2[[#This Row],[submission_date]],"dddd")</f>
        <v>Tuesday</v>
      </c>
      <c r="I149" s="8">
        <f>Table2[[#This Row],[resolution_date]]-Table2[[#This Row],[submission_date]]</f>
        <v>3.5030886111053405</v>
      </c>
    </row>
    <row r="150" spans="1:9" x14ac:dyDescent="0.35">
      <c r="A150" s="5" t="s">
        <v>324</v>
      </c>
      <c r="B150" s="6">
        <v>45854.598774027778</v>
      </c>
      <c r="C150" s="6">
        <v>45855.701526377314</v>
      </c>
      <c r="D150" s="5" t="s">
        <v>8</v>
      </c>
      <c r="E150" s="5" t="s">
        <v>42</v>
      </c>
      <c r="F150" s="5" t="s">
        <v>325</v>
      </c>
      <c r="G150" s="5" t="s">
        <v>16</v>
      </c>
      <c r="H150" s="8" t="str">
        <f>TEXT(Table2[[#This Row],[submission_date]],"dddd")</f>
        <v>Wednesday</v>
      </c>
      <c r="I150" s="8">
        <f>Table2[[#This Row],[resolution_date]]-Table2[[#This Row],[submission_date]]</f>
        <v>1.1027523495358764</v>
      </c>
    </row>
    <row r="151" spans="1:9" x14ac:dyDescent="0.35">
      <c r="A151" s="5" t="s">
        <v>326</v>
      </c>
      <c r="B151" s="6">
        <v>45869.175449467592</v>
      </c>
      <c r="C151" s="6">
        <v>45870.175988194445</v>
      </c>
      <c r="D151" s="5" t="s">
        <v>21</v>
      </c>
      <c r="E151" s="5" t="s">
        <v>9</v>
      </c>
      <c r="F151" s="5" t="s">
        <v>327</v>
      </c>
      <c r="G151" s="5" t="s">
        <v>16</v>
      </c>
      <c r="H151" s="8" t="str">
        <f>TEXT(Table2[[#This Row],[submission_date]],"dddd")</f>
        <v>Thursday</v>
      </c>
      <c r="I151" s="8">
        <f>Table2[[#This Row],[resolution_date]]-Table2[[#This Row],[submission_date]]</f>
        <v>1.000538726853847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9E1D6-BE05-4085-A7FE-40B0C1F0CBEE}">
  <dimension ref="A1:I151"/>
  <sheetViews>
    <sheetView tabSelected="1" zoomScale="116" zoomScaleNormal="116" workbookViewId="0">
      <selection activeCell="K11" sqref="K11"/>
    </sheetView>
  </sheetViews>
  <sheetFormatPr defaultRowHeight="14.5" x14ac:dyDescent="0.35"/>
  <cols>
    <col min="1" max="1" width="11.08984375" bestFit="1" customWidth="1"/>
    <col min="2" max="2" width="17.36328125" bestFit="1" customWidth="1"/>
    <col min="3" max="3" width="16.54296875" bestFit="1" customWidth="1"/>
    <col min="4" max="4" width="10.26953125" bestFit="1" customWidth="1"/>
    <col min="5" max="5" width="17.36328125" bestFit="1" customWidth="1"/>
    <col min="6" max="6" width="100.36328125" bestFit="1" customWidth="1"/>
    <col min="7" max="7" width="9.26953125" bestFit="1" customWidth="1"/>
    <col min="8" max="8" width="13.7265625" bestFit="1" customWidth="1"/>
    <col min="9" max="9" width="17.26953125" customWidth="1"/>
  </cols>
  <sheetData>
    <row r="1" spans="1:9" x14ac:dyDescent="0.35">
      <c r="A1" t="s">
        <v>0</v>
      </c>
      <c r="B1" t="s">
        <v>1</v>
      </c>
      <c r="C1" t="s">
        <v>2</v>
      </c>
      <c r="D1" t="s">
        <v>3</v>
      </c>
      <c r="E1" t="s">
        <v>4</v>
      </c>
      <c r="F1" t="s">
        <v>5</v>
      </c>
      <c r="G1" t="s">
        <v>6</v>
      </c>
      <c r="H1" t="s">
        <v>335</v>
      </c>
      <c r="I1" t="s">
        <v>344</v>
      </c>
    </row>
    <row r="2" spans="1:9" x14ac:dyDescent="0.35">
      <c r="A2" t="s">
        <v>7</v>
      </c>
      <c r="B2" s="10">
        <v>45835.941851550924</v>
      </c>
      <c r="C2" s="10">
        <v>45836.157414861111</v>
      </c>
      <c r="D2" t="s">
        <v>8</v>
      </c>
      <c r="E2" t="s">
        <v>9</v>
      </c>
      <c r="F2" t="s">
        <v>10</v>
      </c>
      <c r="G2" t="s">
        <v>11</v>
      </c>
      <c r="H2" t="s">
        <v>337</v>
      </c>
      <c r="I2">
        <f>Table2_2[[#This Row],[resolution_date]]-Table2_2[[#This Row],[submission_date]]</f>
        <v>0.21556331018655328</v>
      </c>
    </row>
    <row r="3" spans="1:9" x14ac:dyDescent="0.35">
      <c r="A3" t="s">
        <v>12</v>
      </c>
      <c r="B3" s="10">
        <v>45901.811099571758</v>
      </c>
      <c r="C3" s="10">
        <v>45903.304233009258</v>
      </c>
      <c r="D3" t="s">
        <v>13</v>
      </c>
      <c r="E3" t="s">
        <v>14</v>
      </c>
      <c r="F3" t="s">
        <v>15</v>
      </c>
      <c r="G3" t="s">
        <v>16</v>
      </c>
      <c r="H3" t="s">
        <v>338</v>
      </c>
      <c r="I3">
        <f>Table2_2[[#This Row],[resolution_date]]-Table2_2[[#This Row],[submission_date]]</f>
        <v>1.4931334374996368</v>
      </c>
    </row>
    <row r="4" spans="1:9" x14ac:dyDescent="0.35">
      <c r="A4" t="s">
        <v>17</v>
      </c>
      <c r="B4" s="10">
        <v>45904.397251620372</v>
      </c>
      <c r="C4" s="10">
        <v>45905.993478182871</v>
      </c>
      <c r="D4" t="s">
        <v>8</v>
      </c>
      <c r="E4" t="s">
        <v>18</v>
      </c>
      <c r="F4" t="s">
        <v>19</v>
      </c>
      <c r="G4" t="s">
        <v>16</v>
      </c>
      <c r="H4" t="s">
        <v>339</v>
      </c>
      <c r="I4">
        <f>Table2_2[[#This Row],[resolution_date]]-Table2_2[[#This Row],[submission_date]]</f>
        <v>1.5962265624984866</v>
      </c>
    </row>
    <row r="5" spans="1:9" x14ac:dyDescent="0.35">
      <c r="A5" t="s">
        <v>20</v>
      </c>
      <c r="B5" s="10">
        <v>45866.74136521991</v>
      </c>
      <c r="C5" s="10">
        <v>45867.068278460647</v>
      </c>
      <c r="D5" t="s">
        <v>21</v>
      </c>
      <c r="E5" t="s">
        <v>22</v>
      </c>
      <c r="F5" t="s">
        <v>23</v>
      </c>
      <c r="G5" t="s">
        <v>11</v>
      </c>
      <c r="H5" t="s">
        <v>338</v>
      </c>
      <c r="I5">
        <f>Table2_2[[#This Row],[resolution_date]]-Table2_2[[#This Row],[submission_date]]</f>
        <v>0.32691324073675787</v>
      </c>
    </row>
    <row r="6" spans="1:9" x14ac:dyDescent="0.35">
      <c r="A6" t="s">
        <v>24</v>
      </c>
      <c r="B6" s="10">
        <v>45903.907044259257</v>
      </c>
      <c r="C6" s="10">
        <v>45904.286888356481</v>
      </c>
      <c r="D6" t="s">
        <v>13</v>
      </c>
      <c r="E6" t="s">
        <v>25</v>
      </c>
      <c r="F6" t="s">
        <v>26</v>
      </c>
      <c r="G6" t="s">
        <v>11</v>
      </c>
      <c r="H6" t="s">
        <v>340</v>
      </c>
      <c r="I6">
        <f>Table2_2[[#This Row],[resolution_date]]-Table2_2[[#This Row],[submission_date]]</f>
        <v>0.37984409722412238</v>
      </c>
    </row>
    <row r="7" spans="1:9" x14ac:dyDescent="0.35">
      <c r="A7" t="s">
        <v>27</v>
      </c>
      <c r="B7" s="10">
        <v>45873.856022060187</v>
      </c>
      <c r="C7" s="10">
        <v>45879.411592372686</v>
      </c>
      <c r="D7" t="s">
        <v>13</v>
      </c>
      <c r="E7" t="s">
        <v>18</v>
      </c>
      <c r="F7" t="s">
        <v>28</v>
      </c>
      <c r="G7" t="s">
        <v>29</v>
      </c>
      <c r="H7" t="s">
        <v>338</v>
      </c>
      <c r="I7">
        <f>Table2_2[[#This Row],[resolution_date]]-Table2_2[[#This Row],[submission_date]]</f>
        <v>5.5555703124991851</v>
      </c>
    </row>
    <row r="8" spans="1:9" x14ac:dyDescent="0.35">
      <c r="A8" t="s">
        <v>30</v>
      </c>
      <c r="B8" s="10">
        <v>45891.443237013889</v>
      </c>
      <c r="C8" s="10">
        <v>45892.591544884257</v>
      </c>
      <c r="D8" t="s">
        <v>31</v>
      </c>
      <c r="E8" t="s">
        <v>32</v>
      </c>
      <c r="F8" t="s">
        <v>33</v>
      </c>
      <c r="G8" t="s">
        <v>29</v>
      </c>
      <c r="H8" t="s">
        <v>337</v>
      </c>
      <c r="I8">
        <f>Table2_2[[#This Row],[resolution_date]]-Table2_2[[#This Row],[submission_date]]</f>
        <v>1.1483078703677165</v>
      </c>
    </row>
    <row r="9" spans="1:9" x14ac:dyDescent="0.35">
      <c r="A9" t="s">
        <v>34</v>
      </c>
      <c r="B9" s="10">
        <v>45843.321851516201</v>
      </c>
      <c r="C9" s="10">
        <v>45847.851614560182</v>
      </c>
      <c r="D9" t="s">
        <v>13</v>
      </c>
      <c r="E9" t="s">
        <v>35</v>
      </c>
      <c r="F9" t="s">
        <v>36</v>
      </c>
      <c r="G9" t="s">
        <v>29</v>
      </c>
      <c r="H9" t="s">
        <v>341</v>
      </c>
      <c r="I9">
        <f>Table2_2[[#This Row],[resolution_date]]-Table2_2[[#This Row],[submission_date]]</f>
        <v>4.5297630439818022</v>
      </c>
    </row>
    <row r="10" spans="1:9" x14ac:dyDescent="0.35">
      <c r="A10" t="s">
        <v>37</v>
      </c>
      <c r="B10" s="10">
        <v>45845.695295972226</v>
      </c>
      <c r="C10" s="10">
        <v>45846.419769224536</v>
      </c>
      <c r="D10" t="s">
        <v>21</v>
      </c>
      <c r="E10" t="s">
        <v>35</v>
      </c>
      <c r="F10" t="s">
        <v>38</v>
      </c>
      <c r="G10" t="s">
        <v>16</v>
      </c>
      <c r="H10" t="s">
        <v>338</v>
      </c>
      <c r="I10">
        <f>Table2_2[[#This Row],[resolution_date]]-Table2_2[[#This Row],[submission_date]]</f>
        <v>0.72447325231041759</v>
      </c>
    </row>
    <row r="11" spans="1:9" x14ac:dyDescent="0.35">
      <c r="A11" t="s">
        <v>39</v>
      </c>
      <c r="B11" s="10">
        <v>45910.617740428243</v>
      </c>
      <c r="C11" s="10">
        <v>45911.83237329861</v>
      </c>
      <c r="D11" t="s">
        <v>13</v>
      </c>
      <c r="E11" t="s">
        <v>18</v>
      </c>
      <c r="F11" t="s">
        <v>40</v>
      </c>
      <c r="G11" t="s">
        <v>16</v>
      </c>
      <c r="H11" t="s">
        <v>340</v>
      </c>
      <c r="I11">
        <f>Table2_2[[#This Row],[resolution_date]]-Table2_2[[#This Row],[submission_date]]</f>
        <v>1.2146328703674953</v>
      </c>
    </row>
    <row r="12" spans="1:9" x14ac:dyDescent="0.35">
      <c r="A12" t="s">
        <v>41</v>
      </c>
      <c r="B12" s="10">
        <v>45896.555576689818</v>
      </c>
      <c r="C12" s="10">
        <v>45902.686473993053</v>
      </c>
      <c r="D12" t="s">
        <v>13</v>
      </c>
      <c r="E12" t="s">
        <v>42</v>
      </c>
      <c r="F12" t="s">
        <v>43</v>
      </c>
      <c r="G12" t="s">
        <v>29</v>
      </c>
      <c r="H12" t="s">
        <v>340</v>
      </c>
      <c r="I12">
        <f>Table2_2[[#This Row],[resolution_date]]-Table2_2[[#This Row],[submission_date]]</f>
        <v>6.1308973032355425</v>
      </c>
    </row>
    <row r="13" spans="1:9" x14ac:dyDescent="0.35">
      <c r="A13" t="s">
        <v>44</v>
      </c>
      <c r="B13" s="10">
        <v>45832.080772222223</v>
      </c>
      <c r="C13" s="10">
        <v>45832.240656608796</v>
      </c>
      <c r="D13" t="s">
        <v>45</v>
      </c>
      <c r="E13" t="s">
        <v>46</v>
      </c>
      <c r="F13" t="s">
        <v>47</v>
      </c>
      <c r="G13" t="s">
        <v>11</v>
      </c>
      <c r="H13" t="s">
        <v>342</v>
      </c>
      <c r="I13">
        <f>Table2_2[[#This Row],[resolution_date]]-Table2_2[[#This Row],[submission_date]]</f>
        <v>0.15988438657223014</v>
      </c>
    </row>
    <row r="14" spans="1:9" x14ac:dyDescent="0.35">
      <c r="A14" t="s">
        <v>48</v>
      </c>
      <c r="B14" s="10">
        <v>45836.410961250003</v>
      </c>
      <c r="C14" s="10">
        <v>45837.124087824071</v>
      </c>
      <c r="D14" t="s">
        <v>45</v>
      </c>
      <c r="E14" t="s">
        <v>9</v>
      </c>
      <c r="F14" t="s">
        <v>49</v>
      </c>
      <c r="G14" t="s">
        <v>16</v>
      </c>
      <c r="H14" t="s">
        <v>341</v>
      </c>
      <c r="I14">
        <f>Table2_2[[#This Row],[resolution_date]]-Table2_2[[#This Row],[submission_date]]</f>
        <v>0.71312657406815561</v>
      </c>
    </row>
    <row r="15" spans="1:9" x14ac:dyDescent="0.35">
      <c r="A15" t="s">
        <v>50</v>
      </c>
      <c r="B15" s="10">
        <v>45860.381175960647</v>
      </c>
      <c r="C15" s="10">
        <v>45864.663007314812</v>
      </c>
      <c r="D15" t="s">
        <v>13</v>
      </c>
      <c r="E15" t="s">
        <v>35</v>
      </c>
      <c r="F15" t="s">
        <v>51</v>
      </c>
      <c r="G15" t="s">
        <v>29</v>
      </c>
      <c r="H15" t="s">
        <v>342</v>
      </c>
      <c r="I15">
        <f>Table2_2[[#This Row],[resolution_date]]-Table2_2[[#This Row],[submission_date]]</f>
        <v>4.2818313541647512</v>
      </c>
    </row>
    <row r="16" spans="1:9" x14ac:dyDescent="0.35">
      <c r="A16" t="s">
        <v>52</v>
      </c>
      <c r="B16" s="10">
        <v>45847.939561203704</v>
      </c>
      <c r="C16" s="10">
        <v>45848.049673634261</v>
      </c>
      <c r="D16" t="s">
        <v>13</v>
      </c>
      <c r="E16" t="s">
        <v>14</v>
      </c>
      <c r="F16" t="s">
        <v>53</v>
      </c>
      <c r="G16" t="s">
        <v>11</v>
      </c>
      <c r="H16" t="s">
        <v>340</v>
      </c>
      <c r="I16">
        <f>Table2_2[[#This Row],[resolution_date]]-Table2_2[[#This Row],[submission_date]]</f>
        <v>0.11011243055691011</v>
      </c>
    </row>
    <row r="17" spans="1:9" x14ac:dyDescent="0.35">
      <c r="A17" t="s">
        <v>54</v>
      </c>
      <c r="B17" s="10">
        <v>45861.940402638887</v>
      </c>
      <c r="C17" s="10">
        <v>45862.05557290509</v>
      </c>
      <c r="D17" t="s">
        <v>13</v>
      </c>
      <c r="E17" t="s">
        <v>55</v>
      </c>
      <c r="F17" t="s">
        <v>56</v>
      </c>
      <c r="G17" t="s">
        <v>11</v>
      </c>
      <c r="H17" t="s">
        <v>340</v>
      </c>
      <c r="I17">
        <f>Table2_2[[#This Row],[resolution_date]]-Table2_2[[#This Row],[submission_date]]</f>
        <v>0.11517026620276738</v>
      </c>
    </row>
    <row r="18" spans="1:9" x14ac:dyDescent="0.35">
      <c r="A18" t="s">
        <v>57</v>
      </c>
      <c r="B18" s="10">
        <v>45875.49450458333</v>
      </c>
      <c r="C18" s="10">
        <v>45880.346445115742</v>
      </c>
      <c r="D18" t="s">
        <v>13</v>
      </c>
      <c r="E18" t="s">
        <v>35</v>
      </c>
      <c r="F18" t="s">
        <v>58</v>
      </c>
      <c r="G18" t="s">
        <v>29</v>
      </c>
      <c r="H18" t="s">
        <v>340</v>
      </c>
      <c r="I18">
        <f>Table2_2[[#This Row],[resolution_date]]-Table2_2[[#This Row],[submission_date]]</f>
        <v>4.8519405324113904</v>
      </c>
    </row>
    <row r="19" spans="1:9" x14ac:dyDescent="0.35">
      <c r="A19" t="s">
        <v>59</v>
      </c>
      <c r="B19" s="10">
        <v>45838.695992071756</v>
      </c>
      <c r="C19" s="10">
        <v>45840.859242071761</v>
      </c>
      <c r="D19" t="s">
        <v>60</v>
      </c>
      <c r="E19" t="s">
        <v>9</v>
      </c>
      <c r="F19" t="s">
        <v>61</v>
      </c>
      <c r="G19" t="s">
        <v>29</v>
      </c>
      <c r="H19" t="s">
        <v>338</v>
      </c>
      <c r="I19">
        <f>Table2_2[[#This Row],[resolution_date]]-Table2_2[[#This Row],[submission_date]]</f>
        <v>2.1632500000050641</v>
      </c>
    </row>
    <row r="20" spans="1:9" x14ac:dyDescent="0.35">
      <c r="A20" t="s">
        <v>62</v>
      </c>
      <c r="B20" s="10">
        <v>45838.960468067133</v>
      </c>
      <c r="C20" s="10">
        <v>45842.491957118058</v>
      </c>
      <c r="D20" t="s">
        <v>45</v>
      </c>
      <c r="E20" t="s">
        <v>22</v>
      </c>
      <c r="F20" t="s">
        <v>63</v>
      </c>
      <c r="G20" t="s">
        <v>29</v>
      </c>
      <c r="H20" t="s">
        <v>338</v>
      </c>
      <c r="I20">
        <f>Table2_2[[#This Row],[resolution_date]]-Table2_2[[#This Row],[submission_date]]</f>
        <v>3.5314890509253019</v>
      </c>
    </row>
    <row r="21" spans="1:9" x14ac:dyDescent="0.35">
      <c r="A21" t="s">
        <v>64</v>
      </c>
      <c r="B21" s="10">
        <v>45841.310591307869</v>
      </c>
      <c r="C21" s="10">
        <v>45842.999058043984</v>
      </c>
      <c r="D21" t="s">
        <v>21</v>
      </c>
      <c r="E21" t="s">
        <v>22</v>
      </c>
      <c r="F21" t="s">
        <v>65</v>
      </c>
      <c r="G21" t="s">
        <v>16</v>
      </c>
      <c r="H21" t="s">
        <v>339</v>
      </c>
      <c r="I21">
        <f>Table2_2[[#This Row],[resolution_date]]-Table2_2[[#This Row],[submission_date]]</f>
        <v>1.6884667361155152</v>
      </c>
    </row>
    <row r="22" spans="1:9" x14ac:dyDescent="0.35">
      <c r="A22" t="s">
        <v>66</v>
      </c>
      <c r="B22" s="10">
        <v>45831.951130162037</v>
      </c>
      <c r="C22" s="10">
        <v>45833.462965312501</v>
      </c>
      <c r="D22" t="s">
        <v>13</v>
      </c>
      <c r="E22" t="s">
        <v>14</v>
      </c>
      <c r="F22" t="s">
        <v>67</v>
      </c>
      <c r="G22" t="s">
        <v>16</v>
      </c>
      <c r="H22" t="s">
        <v>338</v>
      </c>
      <c r="I22">
        <f>Table2_2[[#This Row],[resolution_date]]-Table2_2[[#This Row],[submission_date]]</f>
        <v>1.5118351504643215</v>
      </c>
    </row>
    <row r="23" spans="1:9" x14ac:dyDescent="0.35">
      <c r="A23" t="s">
        <v>68</v>
      </c>
      <c r="B23" s="10">
        <v>45846.482601527779</v>
      </c>
      <c r="C23" s="10">
        <v>45848.392504687501</v>
      </c>
      <c r="D23" t="s">
        <v>13</v>
      </c>
      <c r="E23" t="s">
        <v>9</v>
      </c>
      <c r="F23" t="s">
        <v>69</v>
      </c>
      <c r="G23" t="s">
        <v>16</v>
      </c>
      <c r="H23" t="s">
        <v>342</v>
      </c>
      <c r="I23">
        <f>Table2_2[[#This Row],[resolution_date]]-Table2_2[[#This Row],[submission_date]]</f>
        <v>1.9099031597215799</v>
      </c>
    </row>
    <row r="24" spans="1:9" x14ac:dyDescent="0.35">
      <c r="A24" t="s">
        <v>70</v>
      </c>
      <c r="B24" s="10">
        <v>45830.978999976855</v>
      </c>
      <c r="C24" s="10">
        <v>45831.690442743056</v>
      </c>
      <c r="D24" t="s">
        <v>13</v>
      </c>
      <c r="E24" t="s">
        <v>42</v>
      </c>
      <c r="F24" t="s">
        <v>71</v>
      </c>
      <c r="G24" t="s">
        <v>16</v>
      </c>
      <c r="H24" t="s">
        <v>343</v>
      </c>
      <c r="I24">
        <f>Table2_2[[#This Row],[resolution_date]]-Table2_2[[#This Row],[submission_date]]</f>
        <v>0.7114427662017988</v>
      </c>
    </row>
    <row r="25" spans="1:9" x14ac:dyDescent="0.35">
      <c r="A25" t="s">
        <v>72</v>
      </c>
      <c r="B25" s="10">
        <v>45898.519360115744</v>
      </c>
      <c r="C25" s="10">
        <v>45900.18315665509</v>
      </c>
      <c r="D25" t="s">
        <v>13</v>
      </c>
      <c r="E25" t="s">
        <v>25</v>
      </c>
      <c r="F25" t="s">
        <v>73</v>
      </c>
      <c r="G25" t="s">
        <v>16</v>
      </c>
      <c r="H25" t="s">
        <v>337</v>
      </c>
      <c r="I25">
        <f>Table2_2[[#This Row],[resolution_date]]-Table2_2[[#This Row],[submission_date]]</f>
        <v>1.6637965393456398</v>
      </c>
    </row>
    <row r="26" spans="1:9" x14ac:dyDescent="0.35">
      <c r="A26" t="s">
        <v>74</v>
      </c>
      <c r="B26" s="10">
        <v>45850.151124652781</v>
      </c>
      <c r="C26" s="10">
        <v>45854.404572488427</v>
      </c>
      <c r="D26" t="s">
        <v>45</v>
      </c>
      <c r="E26" t="s">
        <v>22</v>
      </c>
      <c r="F26" t="s">
        <v>75</v>
      </c>
      <c r="G26" t="s">
        <v>29</v>
      </c>
      <c r="H26" t="s">
        <v>341</v>
      </c>
      <c r="I26">
        <f>Table2_2[[#This Row],[resolution_date]]-Table2_2[[#This Row],[submission_date]]</f>
        <v>4.2534478356465115</v>
      </c>
    </row>
    <row r="27" spans="1:9" x14ac:dyDescent="0.35">
      <c r="A27" t="s">
        <v>76</v>
      </c>
      <c r="B27" s="10">
        <v>45851.238076643516</v>
      </c>
      <c r="C27" s="10">
        <v>45852.816654155089</v>
      </c>
      <c r="D27" t="s">
        <v>13</v>
      </c>
      <c r="E27" t="s">
        <v>14</v>
      </c>
      <c r="F27" t="s">
        <v>77</v>
      </c>
      <c r="G27" t="s">
        <v>16</v>
      </c>
      <c r="H27" t="s">
        <v>343</v>
      </c>
      <c r="I27">
        <f>Table2_2[[#This Row],[resolution_date]]-Table2_2[[#This Row],[submission_date]]</f>
        <v>1.5785775115728029</v>
      </c>
    </row>
    <row r="28" spans="1:9" x14ac:dyDescent="0.35">
      <c r="A28" t="s">
        <v>78</v>
      </c>
      <c r="B28" s="10">
        <v>45832.01864923611</v>
      </c>
      <c r="C28" s="10">
        <v>45832.510323969909</v>
      </c>
      <c r="D28" t="s">
        <v>45</v>
      </c>
      <c r="E28" t="s">
        <v>25</v>
      </c>
      <c r="F28" t="s">
        <v>79</v>
      </c>
      <c r="G28" t="s">
        <v>11</v>
      </c>
      <c r="H28" t="s">
        <v>342</v>
      </c>
      <c r="I28">
        <f>Table2_2[[#This Row],[resolution_date]]-Table2_2[[#This Row],[submission_date]]</f>
        <v>0.49167473379930016</v>
      </c>
    </row>
    <row r="29" spans="1:9" x14ac:dyDescent="0.35">
      <c r="A29" t="s">
        <v>80</v>
      </c>
      <c r="B29" s="10">
        <v>45841.81186765046</v>
      </c>
      <c r="C29" s="10">
        <v>45843.718911377313</v>
      </c>
      <c r="D29" t="s">
        <v>81</v>
      </c>
      <c r="E29" t="s">
        <v>14</v>
      </c>
      <c r="F29" t="s">
        <v>82</v>
      </c>
      <c r="G29" t="s">
        <v>16</v>
      </c>
      <c r="H29" t="s">
        <v>339</v>
      </c>
      <c r="I29">
        <f>Table2_2[[#This Row],[resolution_date]]-Table2_2[[#This Row],[submission_date]]</f>
        <v>1.9070437268528622</v>
      </c>
    </row>
    <row r="30" spans="1:9" x14ac:dyDescent="0.35">
      <c r="A30" t="s">
        <v>83</v>
      </c>
      <c r="B30" s="10">
        <v>45915.543717083332</v>
      </c>
      <c r="C30" s="10">
        <v>45917.331455462961</v>
      </c>
      <c r="D30" t="s">
        <v>8</v>
      </c>
      <c r="E30" t="s">
        <v>9</v>
      </c>
      <c r="F30" t="s">
        <v>84</v>
      </c>
      <c r="G30" t="s">
        <v>29</v>
      </c>
      <c r="H30" t="s">
        <v>338</v>
      </c>
      <c r="I30">
        <f>Table2_2[[#This Row],[resolution_date]]-Table2_2[[#This Row],[submission_date]]</f>
        <v>1.7877383796294453</v>
      </c>
    </row>
    <row r="31" spans="1:9" x14ac:dyDescent="0.35">
      <c r="A31" t="s">
        <v>85</v>
      </c>
      <c r="B31" s="10">
        <v>45896.914734548613</v>
      </c>
      <c r="C31" s="10">
        <v>45898.277047488424</v>
      </c>
      <c r="D31" t="s">
        <v>13</v>
      </c>
      <c r="E31" t="s">
        <v>18</v>
      </c>
      <c r="F31" t="s">
        <v>86</v>
      </c>
      <c r="G31" t="s">
        <v>16</v>
      </c>
      <c r="H31" t="s">
        <v>340</v>
      </c>
      <c r="I31">
        <f>Table2_2[[#This Row],[resolution_date]]-Table2_2[[#This Row],[submission_date]]</f>
        <v>1.3623129398110905</v>
      </c>
    </row>
    <row r="32" spans="1:9" x14ac:dyDescent="0.35">
      <c r="A32" t="s">
        <v>87</v>
      </c>
      <c r="B32" s="10">
        <v>45899.845190624997</v>
      </c>
      <c r="C32" s="10">
        <v>45906.109850624998</v>
      </c>
      <c r="D32" t="s">
        <v>45</v>
      </c>
      <c r="E32" t="s">
        <v>18</v>
      </c>
      <c r="F32" t="s">
        <v>88</v>
      </c>
      <c r="G32" t="s">
        <v>29</v>
      </c>
      <c r="H32" t="s">
        <v>341</v>
      </c>
      <c r="I32">
        <f>Table2_2[[#This Row],[resolution_date]]-Table2_2[[#This Row],[submission_date]]</f>
        <v>6.2646600000007311</v>
      </c>
    </row>
    <row r="33" spans="1:9" x14ac:dyDescent="0.35">
      <c r="A33" t="s">
        <v>89</v>
      </c>
      <c r="B33" s="10">
        <v>45893.999277337964</v>
      </c>
      <c r="C33" s="10">
        <v>45894.316192916667</v>
      </c>
      <c r="D33" t="s">
        <v>13</v>
      </c>
      <c r="E33" t="s">
        <v>14</v>
      </c>
      <c r="F33" t="s">
        <v>90</v>
      </c>
      <c r="G33" t="s">
        <v>11</v>
      </c>
      <c r="H33" t="s">
        <v>343</v>
      </c>
      <c r="I33">
        <f>Table2_2[[#This Row],[resolution_date]]-Table2_2[[#This Row],[submission_date]]</f>
        <v>0.31691557870362885</v>
      </c>
    </row>
    <row r="34" spans="1:9" x14ac:dyDescent="0.35">
      <c r="A34" t="s">
        <v>91</v>
      </c>
      <c r="B34" s="10">
        <v>45849.75739244213</v>
      </c>
      <c r="C34" s="10">
        <v>45855.27821527778</v>
      </c>
      <c r="D34" t="s">
        <v>45</v>
      </c>
      <c r="E34" t="s">
        <v>35</v>
      </c>
      <c r="F34" t="s">
        <v>92</v>
      </c>
      <c r="G34" t="s">
        <v>29</v>
      </c>
      <c r="H34" t="s">
        <v>337</v>
      </c>
      <c r="I34">
        <f>Table2_2[[#This Row],[resolution_date]]-Table2_2[[#This Row],[submission_date]]</f>
        <v>5.5208228356495965</v>
      </c>
    </row>
    <row r="35" spans="1:9" x14ac:dyDescent="0.35">
      <c r="A35" t="s">
        <v>93</v>
      </c>
      <c r="B35" s="10">
        <v>45904.814613437498</v>
      </c>
      <c r="C35" s="10">
        <v>45910.228323379626</v>
      </c>
      <c r="D35" t="s">
        <v>81</v>
      </c>
      <c r="E35" t="s">
        <v>32</v>
      </c>
      <c r="F35" t="s">
        <v>94</v>
      </c>
      <c r="G35" t="s">
        <v>29</v>
      </c>
      <c r="H35" t="s">
        <v>339</v>
      </c>
      <c r="I35">
        <f>Table2_2[[#This Row],[resolution_date]]-Table2_2[[#This Row],[submission_date]]</f>
        <v>5.4137099421277526</v>
      </c>
    </row>
    <row r="36" spans="1:9" x14ac:dyDescent="0.35">
      <c r="A36" t="s">
        <v>95</v>
      </c>
      <c r="B36" s="10">
        <v>45893.712596354169</v>
      </c>
      <c r="C36" s="10">
        <v>45899.821769236114</v>
      </c>
      <c r="D36" t="s">
        <v>13</v>
      </c>
      <c r="E36" t="s">
        <v>25</v>
      </c>
      <c r="F36" t="s">
        <v>96</v>
      </c>
      <c r="G36" t="s">
        <v>29</v>
      </c>
      <c r="H36" t="s">
        <v>343</v>
      </c>
      <c r="I36">
        <f>Table2_2[[#This Row],[resolution_date]]-Table2_2[[#This Row],[submission_date]]</f>
        <v>6.1091728819446871</v>
      </c>
    </row>
    <row r="37" spans="1:9" x14ac:dyDescent="0.35">
      <c r="A37" t="s">
        <v>97</v>
      </c>
      <c r="B37" s="10">
        <v>45838.741699282407</v>
      </c>
      <c r="C37" s="10">
        <v>45839.817210752313</v>
      </c>
      <c r="D37" t="s">
        <v>21</v>
      </c>
      <c r="E37" t="s">
        <v>14</v>
      </c>
      <c r="F37" t="s">
        <v>98</v>
      </c>
      <c r="G37" t="s">
        <v>29</v>
      </c>
      <c r="H37" t="s">
        <v>338</v>
      </c>
      <c r="I37">
        <f>Table2_2[[#This Row],[resolution_date]]-Table2_2[[#This Row],[submission_date]]</f>
        <v>1.075511469905905</v>
      </c>
    </row>
    <row r="38" spans="1:9" x14ac:dyDescent="0.35">
      <c r="A38" t="s">
        <v>99</v>
      </c>
      <c r="B38" s="10">
        <v>45909.36557869213</v>
      </c>
      <c r="C38" s="10">
        <v>45913.263069328706</v>
      </c>
      <c r="D38" t="s">
        <v>13</v>
      </c>
      <c r="E38" t="s">
        <v>46</v>
      </c>
      <c r="F38" t="s">
        <v>100</v>
      </c>
      <c r="G38" t="s">
        <v>29</v>
      </c>
      <c r="H38" t="s">
        <v>342</v>
      </c>
      <c r="I38">
        <f>Table2_2[[#This Row],[resolution_date]]-Table2_2[[#This Row],[submission_date]]</f>
        <v>3.8974906365765492</v>
      </c>
    </row>
    <row r="39" spans="1:9" x14ac:dyDescent="0.35">
      <c r="A39" t="s">
        <v>101</v>
      </c>
      <c r="B39" s="10">
        <v>45880.455971180556</v>
      </c>
      <c r="C39" s="10">
        <v>45886.671748993052</v>
      </c>
      <c r="D39" t="s">
        <v>8</v>
      </c>
      <c r="E39" t="s">
        <v>42</v>
      </c>
      <c r="F39" t="s">
        <v>102</v>
      </c>
      <c r="G39" t="s">
        <v>29</v>
      </c>
      <c r="H39" t="s">
        <v>338</v>
      </c>
      <c r="I39">
        <f>Table2_2[[#This Row],[resolution_date]]-Table2_2[[#This Row],[submission_date]]</f>
        <v>6.2157778124965262</v>
      </c>
    </row>
    <row r="40" spans="1:9" x14ac:dyDescent="0.35">
      <c r="A40" t="s">
        <v>103</v>
      </c>
      <c r="B40" s="10">
        <v>45901.680695057868</v>
      </c>
      <c r="C40" s="10">
        <v>45902.113242870371</v>
      </c>
      <c r="D40" t="s">
        <v>13</v>
      </c>
      <c r="E40" t="s">
        <v>32</v>
      </c>
      <c r="F40" t="s">
        <v>104</v>
      </c>
      <c r="G40" t="s">
        <v>16</v>
      </c>
      <c r="H40" t="s">
        <v>338</v>
      </c>
      <c r="I40">
        <f>Table2_2[[#This Row],[resolution_date]]-Table2_2[[#This Row],[submission_date]]</f>
        <v>0.43254781250288943</v>
      </c>
    </row>
    <row r="41" spans="1:9" x14ac:dyDescent="0.35">
      <c r="A41" t="s">
        <v>105</v>
      </c>
      <c r="B41" s="10">
        <v>45883.854248391202</v>
      </c>
      <c r="C41" s="10">
        <v>45884.364103043983</v>
      </c>
      <c r="D41" t="s">
        <v>31</v>
      </c>
      <c r="E41" t="s">
        <v>35</v>
      </c>
      <c r="F41" t="s">
        <v>106</v>
      </c>
      <c r="G41" t="s">
        <v>16</v>
      </c>
      <c r="H41" t="s">
        <v>339</v>
      </c>
      <c r="I41">
        <f>Table2_2[[#This Row],[resolution_date]]-Table2_2[[#This Row],[submission_date]]</f>
        <v>0.50985465278063202</v>
      </c>
    </row>
    <row r="42" spans="1:9" x14ac:dyDescent="0.35">
      <c r="A42" t="s">
        <v>107</v>
      </c>
      <c r="B42" s="10">
        <v>45905.24280886574</v>
      </c>
      <c r="C42" s="10">
        <v>45906.957953680554</v>
      </c>
      <c r="D42" t="s">
        <v>45</v>
      </c>
      <c r="E42" t="s">
        <v>9</v>
      </c>
      <c r="F42" t="s">
        <v>108</v>
      </c>
      <c r="G42" t="s">
        <v>16</v>
      </c>
      <c r="H42" t="s">
        <v>337</v>
      </c>
      <c r="I42">
        <f>Table2_2[[#This Row],[resolution_date]]-Table2_2[[#This Row],[submission_date]]</f>
        <v>1.7151448148142663</v>
      </c>
    </row>
    <row r="43" spans="1:9" x14ac:dyDescent="0.35">
      <c r="A43" t="s">
        <v>109</v>
      </c>
      <c r="B43" s="10">
        <v>45913.768400347224</v>
      </c>
      <c r="C43" s="10">
        <v>45914.807395509262</v>
      </c>
      <c r="D43" t="s">
        <v>21</v>
      </c>
      <c r="E43" t="s">
        <v>14</v>
      </c>
      <c r="F43" t="s">
        <v>110</v>
      </c>
      <c r="G43" t="s">
        <v>29</v>
      </c>
      <c r="H43" t="s">
        <v>341</v>
      </c>
      <c r="I43">
        <f>Table2_2[[#This Row],[resolution_date]]-Table2_2[[#This Row],[submission_date]]</f>
        <v>1.0389951620381908</v>
      </c>
    </row>
    <row r="44" spans="1:9" x14ac:dyDescent="0.35">
      <c r="A44" t="s">
        <v>111</v>
      </c>
      <c r="B44" s="10">
        <v>45866.029443506945</v>
      </c>
      <c r="C44" s="10">
        <v>45872.45864300926</v>
      </c>
      <c r="D44" t="s">
        <v>81</v>
      </c>
      <c r="E44" t="s">
        <v>55</v>
      </c>
      <c r="F44" t="s">
        <v>112</v>
      </c>
      <c r="G44" t="s">
        <v>29</v>
      </c>
      <c r="H44" t="s">
        <v>338</v>
      </c>
      <c r="I44">
        <f>Table2_2[[#This Row],[resolution_date]]-Table2_2[[#This Row],[submission_date]]</f>
        <v>6.4291995023158961</v>
      </c>
    </row>
    <row r="45" spans="1:9" x14ac:dyDescent="0.35">
      <c r="A45" t="s">
        <v>113</v>
      </c>
      <c r="B45" s="10">
        <v>45868.901072280096</v>
      </c>
      <c r="C45" s="10">
        <v>45868.96509607639</v>
      </c>
      <c r="D45" t="s">
        <v>13</v>
      </c>
      <c r="E45" t="s">
        <v>35</v>
      </c>
      <c r="F45" t="s">
        <v>114</v>
      </c>
      <c r="G45" t="s">
        <v>115</v>
      </c>
      <c r="H45" t="s">
        <v>340</v>
      </c>
      <c r="I45">
        <f>Table2_2[[#This Row],[resolution_date]]-Table2_2[[#This Row],[submission_date]]</f>
        <v>6.4023796294350177E-2</v>
      </c>
    </row>
    <row r="46" spans="1:9" x14ac:dyDescent="0.35">
      <c r="A46" t="s">
        <v>116</v>
      </c>
      <c r="B46" s="10">
        <v>45872.126770416668</v>
      </c>
      <c r="C46" s="10">
        <v>45872.29889071759</v>
      </c>
      <c r="D46" t="s">
        <v>21</v>
      </c>
      <c r="E46" t="s">
        <v>32</v>
      </c>
      <c r="F46" t="s">
        <v>117</v>
      </c>
      <c r="G46" t="s">
        <v>11</v>
      </c>
      <c r="H46" t="s">
        <v>343</v>
      </c>
      <c r="I46">
        <f>Table2_2[[#This Row],[resolution_date]]-Table2_2[[#This Row],[submission_date]]</f>
        <v>0.17212030092196073</v>
      </c>
    </row>
    <row r="47" spans="1:9" x14ac:dyDescent="0.35">
      <c r="A47" t="s">
        <v>118</v>
      </c>
      <c r="B47" s="10">
        <v>45843.404094467594</v>
      </c>
      <c r="C47" s="10">
        <v>45843.878437824074</v>
      </c>
      <c r="D47" t="s">
        <v>13</v>
      </c>
      <c r="E47" t="s">
        <v>14</v>
      </c>
      <c r="F47" t="s">
        <v>119</v>
      </c>
      <c r="G47" t="s">
        <v>11</v>
      </c>
      <c r="H47" t="s">
        <v>341</v>
      </c>
      <c r="I47">
        <f>Table2_2[[#This Row],[resolution_date]]-Table2_2[[#This Row],[submission_date]]</f>
        <v>0.47434335647994885</v>
      </c>
    </row>
    <row r="48" spans="1:9" x14ac:dyDescent="0.35">
      <c r="A48" t="s">
        <v>120</v>
      </c>
      <c r="B48" s="10">
        <v>45899.571593854169</v>
      </c>
      <c r="C48" s="10">
        <v>45901.48748614583</v>
      </c>
      <c r="D48" t="s">
        <v>45</v>
      </c>
      <c r="E48" t="s">
        <v>25</v>
      </c>
      <c r="F48" t="s">
        <v>121</v>
      </c>
      <c r="G48" t="s">
        <v>16</v>
      </c>
      <c r="H48" t="s">
        <v>341</v>
      </c>
      <c r="I48">
        <f>Table2_2[[#This Row],[resolution_date]]-Table2_2[[#This Row],[submission_date]]</f>
        <v>1.9158922916612937</v>
      </c>
    </row>
    <row r="49" spans="1:9" x14ac:dyDescent="0.35">
      <c r="A49" t="s">
        <v>122</v>
      </c>
      <c r="B49" s="10">
        <v>45830.641442060187</v>
      </c>
      <c r="C49" s="10">
        <v>45835.539807534726</v>
      </c>
      <c r="D49" t="s">
        <v>31</v>
      </c>
      <c r="E49" t="s">
        <v>14</v>
      </c>
      <c r="F49" t="s">
        <v>123</v>
      </c>
      <c r="G49" t="s">
        <v>29</v>
      </c>
      <c r="H49" t="s">
        <v>343</v>
      </c>
      <c r="I49">
        <f>Table2_2[[#This Row],[resolution_date]]-Table2_2[[#This Row],[submission_date]]</f>
        <v>4.8983654745388776</v>
      </c>
    </row>
    <row r="50" spans="1:9" x14ac:dyDescent="0.35">
      <c r="A50" t="s">
        <v>124</v>
      </c>
      <c r="B50" s="10">
        <v>45841.133833182874</v>
      </c>
      <c r="C50" s="10">
        <v>45841.652713553238</v>
      </c>
      <c r="D50" t="s">
        <v>45</v>
      </c>
      <c r="E50" t="s">
        <v>14</v>
      </c>
      <c r="F50" t="s">
        <v>125</v>
      </c>
      <c r="G50" t="s">
        <v>16</v>
      </c>
      <c r="H50" t="s">
        <v>339</v>
      </c>
      <c r="I50">
        <f>Table2_2[[#This Row],[resolution_date]]-Table2_2[[#This Row],[submission_date]]</f>
        <v>0.51888037036405876</v>
      </c>
    </row>
    <row r="51" spans="1:9" x14ac:dyDescent="0.35">
      <c r="A51" t="s">
        <v>126</v>
      </c>
      <c r="B51" s="10">
        <v>45878.743972037038</v>
      </c>
      <c r="C51" s="10">
        <v>45879.856085624997</v>
      </c>
      <c r="D51" t="s">
        <v>45</v>
      </c>
      <c r="E51" t="s">
        <v>14</v>
      </c>
      <c r="F51" t="s">
        <v>127</v>
      </c>
      <c r="G51" t="s">
        <v>16</v>
      </c>
      <c r="H51" t="s">
        <v>341</v>
      </c>
      <c r="I51">
        <f>Table2_2[[#This Row],[resolution_date]]-Table2_2[[#This Row],[submission_date]]</f>
        <v>1.1121135879584472</v>
      </c>
    </row>
    <row r="52" spans="1:9" x14ac:dyDescent="0.35">
      <c r="A52" t="s">
        <v>128</v>
      </c>
      <c r="B52" s="10">
        <v>45861.349098321756</v>
      </c>
      <c r="C52" s="10">
        <v>45865.965208310183</v>
      </c>
      <c r="D52" t="s">
        <v>8</v>
      </c>
      <c r="E52" t="s">
        <v>22</v>
      </c>
      <c r="F52" t="s">
        <v>129</v>
      </c>
      <c r="G52" t="s">
        <v>29</v>
      </c>
      <c r="H52" t="s">
        <v>340</v>
      </c>
      <c r="I52">
        <f>Table2_2[[#This Row],[resolution_date]]-Table2_2[[#This Row],[submission_date]]</f>
        <v>4.616109988426615</v>
      </c>
    </row>
    <row r="53" spans="1:9" x14ac:dyDescent="0.35">
      <c r="A53" t="s">
        <v>130</v>
      </c>
      <c r="B53" s="10">
        <v>45869.827586620369</v>
      </c>
      <c r="C53" s="10">
        <v>45876.059095208337</v>
      </c>
      <c r="D53" t="s">
        <v>13</v>
      </c>
      <c r="E53" t="s">
        <v>14</v>
      </c>
      <c r="F53" t="s">
        <v>131</v>
      </c>
      <c r="G53" t="s">
        <v>29</v>
      </c>
      <c r="H53" t="s">
        <v>339</v>
      </c>
      <c r="I53">
        <f>Table2_2[[#This Row],[resolution_date]]-Table2_2[[#This Row],[submission_date]]</f>
        <v>6.2315085879672552</v>
      </c>
    </row>
    <row r="54" spans="1:9" x14ac:dyDescent="0.35">
      <c r="A54" t="s">
        <v>132</v>
      </c>
      <c r="B54" s="10">
        <v>45837.098491828707</v>
      </c>
      <c r="C54" s="10">
        <v>45837.72761415509</v>
      </c>
      <c r="D54" t="s">
        <v>13</v>
      </c>
      <c r="E54" t="s">
        <v>22</v>
      </c>
      <c r="F54" t="s">
        <v>133</v>
      </c>
      <c r="G54" t="s">
        <v>16</v>
      </c>
      <c r="H54" t="s">
        <v>343</v>
      </c>
      <c r="I54">
        <f>Table2_2[[#This Row],[resolution_date]]-Table2_2[[#This Row],[submission_date]]</f>
        <v>0.62912232638336718</v>
      </c>
    </row>
    <row r="55" spans="1:9" x14ac:dyDescent="0.35">
      <c r="A55" t="s">
        <v>134</v>
      </c>
      <c r="B55" s="10">
        <v>45884.862366689813</v>
      </c>
      <c r="C55" s="10">
        <v>45885.412255208335</v>
      </c>
      <c r="D55" t="s">
        <v>13</v>
      </c>
      <c r="E55" t="s">
        <v>14</v>
      </c>
      <c r="F55" t="s">
        <v>135</v>
      </c>
      <c r="G55" t="s">
        <v>16</v>
      </c>
      <c r="H55" t="s">
        <v>337</v>
      </c>
      <c r="I55">
        <f>Table2_2[[#This Row],[resolution_date]]-Table2_2[[#This Row],[submission_date]]</f>
        <v>0.54988851852249354</v>
      </c>
    </row>
    <row r="56" spans="1:9" x14ac:dyDescent="0.35">
      <c r="A56" t="s">
        <v>136</v>
      </c>
      <c r="B56" s="10">
        <v>45853.375071770832</v>
      </c>
      <c r="C56" s="10">
        <v>45853.793861516206</v>
      </c>
      <c r="D56" t="s">
        <v>45</v>
      </c>
      <c r="E56" t="s">
        <v>18</v>
      </c>
      <c r="F56" t="s">
        <v>137</v>
      </c>
      <c r="G56" t="s">
        <v>11</v>
      </c>
      <c r="H56" t="s">
        <v>342</v>
      </c>
      <c r="I56">
        <f>Table2_2[[#This Row],[resolution_date]]-Table2_2[[#This Row],[submission_date]]</f>
        <v>0.41878974537394242</v>
      </c>
    </row>
    <row r="57" spans="1:9" x14ac:dyDescent="0.35">
      <c r="A57" t="s">
        <v>138</v>
      </c>
      <c r="B57" s="10">
        <v>45829.046392881944</v>
      </c>
      <c r="C57" s="10">
        <v>45830.741530185187</v>
      </c>
      <c r="D57" t="s">
        <v>31</v>
      </c>
      <c r="E57" t="s">
        <v>14</v>
      </c>
      <c r="F57" t="s">
        <v>139</v>
      </c>
      <c r="G57" t="s">
        <v>16</v>
      </c>
      <c r="H57" t="s">
        <v>341</v>
      </c>
      <c r="I57">
        <f>Table2_2[[#This Row],[resolution_date]]-Table2_2[[#This Row],[submission_date]]</f>
        <v>1.6951373032425181</v>
      </c>
    </row>
    <row r="58" spans="1:9" x14ac:dyDescent="0.35">
      <c r="A58" t="s">
        <v>140</v>
      </c>
      <c r="B58" s="10">
        <v>45871.327925046295</v>
      </c>
      <c r="C58" s="10">
        <v>45872.603165902779</v>
      </c>
      <c r="D58" t="s">
        <v>8</v>
      </c>
      <c r="E58" t="s">
        <v>22</v>
      </c>
      <c r="F58" t="s">
        <v>141</v>
      </c>
      <c r="G58" t="s">
        <v>16</v>
      </c>
      <c r="H58" t="s">
        <v>341</v>
      </c>
      <c r="I58">
        <f>Table2_2[[#This Row],[resolution_date]]-Table2_2[[#This Row],[submission_date]]</f>
        <v>1.2752408564847428</v>
      </c>
    </row>
    <row r="59" spans="1:9" x14ac:dyDescent="0.35">
      <c r="A59" t="s">
        <v>142</v>
      </c>
      <c r="B59" s="10">
        <v>45860.353873182874</v>
      </c>
      <c r="C59" s="10">
        <v>45867.28399974537</v>
      </c>
      <c r="D59" t="s">
        <v>60</v>
      </c>
      <c r="E59" t="s">
        <v>35</v>
      </c>
      <c r="F59" t="s">
        <v>143</v>
      </c>
      <c r="G59" t="s">
        <v>29</v>
      </c>
      <c r="H59" t="s">
        <v>342</v>
      </c>
      <c r="I59">
        <f>Table2_2[[#This Row],[resolution_date]]-Table2_2[[#This Row],[submission_date]]</f>
        <v>6.930126562496298</v>
      </c>
    </row>
    <row r="60" spans="1:9" x14ac:dyDescent="0.35">
      <c r="A60" t="s">
        <v>144</v>
      </c>
      <c r="B60" s="10">
        <v>45875.571420300927</v>
      </c>
      <c r="C60" s="10">
        <v>45877.303206296296</v>
      </c>
      <c r="D60" t="s">
        <v>8</v>
      </c>
      <c r="E60" t="s">
        <v>35</v>
      </c>
      <c r="F60" t="s">
        <v>145</v>
      </c>
      <c r="G60" t="s">
        <v>16</v>
      </c>
      <c r="H60" t="s">
        <v>340</v>
      </c>
      <c r="I60">
        <f>Table2_2[[#This Row],[resolution_date]]-Table2_2[[#This Row],[submission_date]]</f>
        <v>1.7317859953691368</v>
      </c>
    </row>
    <row r="61" spans="1:9" x14ac:dyDescent="0.35">
      <c r="A61" t="s">
        <v>146</v>
      </c>
      <c r="B61" s="10">
        <v>45827.276196747684</v>
      </c>
      <c r="C61" s="10">
        <v>45828.595821400464</v>
      </c>
      <c r="D61" t="s">
        <v>13</v>
      </c>
      <c r="E61" t="s">
        <v>32</v>
      </c>
      <c r="F61" t="s">
        <v>147</v>
      </c>
      <c r="G61" t="s">
        <v>16</v>
      </c>
      <c r="H61" t="s">
        <v>339</v>
      </c>
      <c r="I61">
        <f>Table2_2[[#This Row],[resolution_date]]-Table2_2[[#This Row],[submission_date]]</f>
        <v>1.319624652780476</v>
      </c>
    </row>
    <row r="62" spans="1:9" x14ac:dyDescent="0.35">
      <c r="A62" t="s">
        <v>148</v>
      </c>
      <c r="B62" s="10">
        <v>45896.462244918985</v>
      </c>
      <c r="C62" s="10">
        <v>45897.49294236111</v>
      </c>
      <c r="D62" t="s">
        <v>21</v>
      </c>
      <c r="E62" t="s">
        <v>22</v>
      </c>
      <c r="F62" t="s">
        <v>149</v>
      </c>
      <c r="G62" t="s">
        <v>16</v>
      </c>
      <c r="H62" t="s">
        <v>340</v>
      </c>
      <c r="I62">
        <f>Table2_2[[#This Row],[resolution_date]]-Table2_2[[#This Row],[submission_date]]</f>
        <v>1.0306974421255291</v>
      </c>
    </row>
    <row r="63" spans="1:9" x14ac:dyDescent="0.35">
      <c r="A63" t="s">
        <v>150</v>
      </c>
      <c r="B63" s="10">
        <v>45910.846970937499</v>
      </c>
      <c r="C63" s="10">
        <v>45912.419087835646</v>
      </c>
      <c r="D63" t="s">
        <v>13</v>
      </c>
      <c r="E63" t="s">
        <v>9</v>
      </c>
      <c r="F63" t="s">
        <v>151</v>
      </c>
      <c r="G63" t="s">
        <v>16</v>
      </c>
      <c r="H63" t="s">
        <v>340</v>
      </c>
      <c r="I63">
        <f>Table2_2[[#This Row],[resolution_date]]-Table2_2[[#This Row],[submission_date]]</f>
        <v>1.5721168981472147</v>
      </c>
    </row>
    <row r="64" spans="1:9" x14ac:dyDescent="0.35">
      <c r="A64" t="s">
        <v>152</v>
      </c>
      <c r="B64" s="10">
        <v>45839.694215011572</v>
      </c>
      <c r="C64" s="10">
        <v>45840.681742858796</v>
      </c>
      <c r="D64" t="s">
        <v>13</v>
      </c>
      <c r="E64" t="s">
        <v>42</v>
      </c>
      <c r="F64" t="s">
        <v>153</v>
      </c>
      <c r="G64" t="s">
        <v>16</v>
      </c>
      <c r="H64" t="s">
        <v>342</v>
      </c>
      <c r="I64">
        <f>Table2_2[[#This Row],[resolution_date]]-Table2_2[[#This Row],[submission_date]]</f>
        <v>0.98752784722455544</v>
      </c>
    </row>
    <row r="65" spans="1:9" x14ac:dyDescent="0.35">
      <c r="A65" t="s">
        <v>154</v>
      </c>
      <c r="B65" s="10">
        <v>45871.331352719906</v>
      </c>
      <c r="C65" s="10">
        <v>45871.66361797454</v>
      </c>
      <c r="D65" t="s">
        <v>31</v>
      </c>
      <c r="E65" t="s">
        <v>42</v>
      </c>
      <c r="F65" t="s">
        <v>155</v>
      </c>
      <c r="G65" t="s">
        <v>11</v>
      </c>
      <c r="H65" t="s">
        <v>341</v>
      </c>
      <c r="I65">
        <f>Table2_2[[#This Row],[resolution_date]]-Table2_2[[#This Row],[submission_date]]</f>
        <v>0.33226525463396683</v>
      </c>
    </row>
    <row r="66" spans="1:9" x14ac:dyDescent="0.35">
      <c r="A66" t="s">
        <v>156</v>
      </c>
      <c r="B66" s="10">
        <v>45910.248753749998</v>
      </c>
      <c r="C66" s="10">
        <v>45910.584669618052</v>
      </c>
      <c r="D66" t="s">
        <v>31</v>
      </c>
      <c r="E66" t="s">
        <v>25</v>
      </c>
      <c r="F66" t="s">
        <v>157</v>
      </c>
      <c r="G66" t="s">
        <v>16</v>
      </c>
      <c r="H66" t="s">
        <v>340</v>
      </c>
      <c r="I66">
        <f>Table2_2[[#This Row],[resolution_date]]-Table2_2[[#This Row],[submission_date]]</f>
        <v>0.33591586805414408</v>
      </c>
    </row>
    <row r="67" spans="1:9" x14ac:dyDescent="0.35">
      <c r="A67" t="s">
        <v>158</v>
      </c>
      <c r="B67" s="10">
        <v>45886.799485474534</v>
      </c>
      <c r="C67" s="10">
        <v>45887.413612974538</v>
      </c>
      <c r="D67" t="s">
        <v>45</v>
      </c>
      <c r="E67" t="s">
        <v>9</v>
      </c>
      <c r="F67" t="s">
        <v>159</v>
      </c>
      <c r="G67" t="s">
        <v>16</v>
      </c>
      <c r="H67" t="s">
        <v>343</v>
      </c>
      <c r="I67">
        <f>Table2_2[[#This Row],[resolution_date]]-Table2_2[[#This Row],[submission_date]]</f>
        <v>0.61412750000454253</v>
      </c>
    </row>
    <row r="68" spans="1:9" x14ac:dyDescent="0.35">
      <c r="A68" t="s">
        <v>160</v>
      </c>
      <c r="B68" s="10">
        <v>45856.265250370372</v>
      </c>
      <c r="C68" s="10">
        <v>45861.837133449073</v>
      </c>
      <c r="D68" t="s">
        <v>21</v>
      </c>
      <c r="E68" t="s">
        <v>18</v>
      </c>
      <c r="F68" t="s">
        <v>161</v>
      </c>
      <c r="G68" t="s">
        <v>29</v>
      </c>
      <c r="H68" t="s">
        <v>337</v>
      </c>
      <c r="I68">
        <f>Table2_2[[#This Row],[resolution_date]]-Table2_2[[#This Row],[submission_date]]</f>
        <v>5.571883078700921</v>
      </c>
    </row>
    <row r="69" spans="1:9" x14ac:dyDescent="0.35">
      <c r="A69" t="s">
        <v>162</v>
      </c>
      <c r="B69" s="10">
        <v>45844.096052199071</v>
      </c>
      <c r="C69" s="10">
        <v>45845.543753993057</v>
      </c>
      <c r="D69" t="s">
        <v>45</v>
      </c>
      <c r="E69" t="s">
        <v>42</v>
      </c>
      <c r="F69" t="s">
        <v>163</v>
      </c>
      <c r="G69" t="s">
        <v>16</v>
      </c>
      <c r="H69" t="s">
        <v>343</v>
      </c>
      <c r="I69">
        <f>Table2_2[[#This Row],[resolution_date]]-Table2_2[[#This Row],[submission_date]]</f>
        <v>1.447701793986198</v>
      </c>
    </row>
    <row r="70" spans="1:9" x14ac:dyDescent="0.35">
      <c r="A70" t="s">
        <v>164</v>
      </c>
      <c r="B70" s="10">
        <v>45894.949184375</v>
      </c>
      <c r="C70" s="10">
        <v>45898.220131793983</v>
      </c>
      <c r="D70" t="s">
        <v>13</v>
      </c>
      <c r="E70" t="s">
        <v>32</v>
      </c>
      <c r="F70" t="s">
        <v>165</v>
      </c>
      <c r="G70" t="s">
        <v>29</v>
      </c>
      <c r="H70" t="s">
        <v>338</v>
      </c>
      <c r="I70">
        <f>Table2_2[[#This Row],[resolution_date]]-Table2_2[[#This Row],[submission_date]]</f>
        <v>3.270947418983269</v>
      </c>
    </row>
    <row r="71" spans="1:9" x14ac:dyDescent="0.35">
      <c r="A71" t="s">
        <v>166</v>
      </c>
      <c r="B71" s="10">
        <v>45907.021170486114</v>
      </c>
      <c r="C71" s="10">
        <v>45908.025708969908</v>
      </c>
      <c r="D71" t="s">
        <v>13</v>
      </c>
      <c r="E71" t="s">
        <v>25</v>
      </c>
      <c r="F71" t="s">
        <v>167</v>
      </c>
      <c r="G71" t="s">
        <v>16</v>
      </c>
      <c r="H71" t="s">
        <v>343</v>
      </c>
      <c r="I71">
        <f>Table2_2[[#This Row],[resolution_date]]-Table2_2[[#This Row],[submission_date]]</f>
        <v>1.0045384837940219</v>
      </c>
    </row>
    <row r="72" spans="1:9" x14ac:dyDescent="0.35">
      <c r="A72" t="s">
        <v>168</v>
      </c>
      <c r="B72" s="10">
        <v>45859.915516805559</v>
      </c>
      <c r="C72" s="10">
        <v>45860.049579155093</v>
      </c>
      <c r="D72" t="s">
        <v>21</v>
      </c>
      <c r="E72" t="s">
        <v>42</v>
      </c>
      <c r="F72" t="s">
        <v>169</v>
      </c>
      <c r="G72" t="s">
        <v>115</v>
      </c>
      <c r="H72" t="s">
        <v>338</v>
      </c>
      <c r="I72">
        <f>Table2_2[[#This Row],[resolution_date]]-Table2_2[[#This Row],[submission_date]]</f>
        <v>0.13406234953436069</v>
      </c>
    </row>
    <row r="73" spans="1:9" x14ac:dyDescent="0.35">
      <c r="A73" t="s">
        <v>170</v>
      </c>
      <c r="B73" s="10">
        <v>45862.538502326388</v>
      </c>
      <c r="C73" s="10">
        <v>45863.373908437497</v>
      </c>
      <c r="D73" t="s">
        <v>13</v>
      </c>
      <c r="E73" t="s">
        <v>18</v>
      </c>
      <c r="F73" t="s">
        <v>171</v>
      </c>
      <c r="G73" t="s">
        <v>16</v>
      </c>
      <c r="H73" t="s">
        <v>339</v>
      </c>
      <c r="I73">
        <f>Table2_2[[#This Row],[resolution_date]]-Table2_2[[#This Row],[submission_date]]</f>
        <v>0.83540611110947793</v>
      </c>
    </row>
    <row r="74" spans="1:9" x14ac:dyDescent="0.35">
      <c r="A74" t="s">
        <v>172</v>
      </c>
      <c r="B74" s="10">
        <v>45826.321113136575</v>
      </c>
      <c r="C74" s="10">
        <v>45827.897584212966</v>
      </c>
      <c r="D74" t="s">
        <v>45</v>
      </c>
      <c r="E74" t="s">
        <v>42</v>
      </c>
      <c r="F74" t="s">
        <v>173</v>
      </c>
      <c r="G74" t="s">
        <v>16</v>
      </c>
      <c r="H74" t="s">
        <v>340</v>
      </c>
      <c r="I74">
        <f>Table2_2[[#This Row],[resolution_date]]-Table2_2[[#This Row],[submission_date]]</f>
        <v>1.5764710763905896</v>
      </c>
    </row>
    <row r="75" spans="1:9" x14ac:dyDescent="0.35">
      <c r="A75" t="s">
        <v>174</v>
      </c>
      <c r="B75" s="10">
        <v>45903.107100034722</v>
      </c>
      <c r="C75" s="10">
        <v>45903.445007858798</v>
      </c>
      <c r="D75" t="s">
        <v>8</v>
      </c>
      <c r="E75" t="s">
        <v>46</v>
      </c>
      <c r="F75" t="s">
        <v>175</v>
      </c>
      <c r="G75" t="s">
        <v>11</v>
      </c>
      <c r="H75" t="s">
        <v>340</v>
      </c>
      <c r="I75">
        <f>Table2_2[[#This Row],[resolution_date]]-Table2_2[[#This Row],[submission_date]]</f>
        <v>0.33790782407595543</v>
      </c>
    </row>
    <row r="76" spans="1:9" x14ac:dyDescent="0.35">
      <c r="A76" t="s">
        <v>176</v>
      </c>
      <c r="B76" s="10">
        <v>45877.970792118052</v>
      </c>
      <c r="C76" s="10">
        <v>45883.972063807872</v>
      </c>
      <c r="D76" t="s">
        <v>60</v>
      </c>
      <c r="E76" t="s">
        <v>14</v>
      </c>
      <c r="F76" t="s">
        <v>177</v>
      </c>
      <c r="G76" t="s">
        <v>29</v>
      </c>
      <c r="H76" t="s">
        <v>337</v>
      </c>
      <c r="I76">
        <f>Table2_2[[#This Row],[resolution_date]]-Table2_2[[#This Row],[submission_date]]</f>
        <v>6.0012716898199869</v>
      </c>
    </row>
    <row r="77" spans="1:9" x14ac:dyDescent="0.35">
      <c r="A77" t="s">
        <v>178</v>
      </c>
      <c r="B77" s="10">
        <v>45897.075165682872</v>
      </c>
      <c r="C77" s="10">
        <v>45897.403448738427</v>
      </c>
      <c r="D77" t="s">
        <v>8</v>
      </c>
      <c r="E77" t="s">
        <v>42</v>
      </c>
      <c r="F77" t="s">
        <v>179</v>
      </c>
      <c r="G77" t="s">
        <v>11</v>
      </c>
      <c r="H77" t="s">
        <v>339</v>
      </c>
      <c r="I77">
        <f>Table2_2[[#This Row],[resolution_date]]-Table2_2[[#This Row],[submission_date]]</f>
        <v>0.32828305555449333</v>
      </c>
    </row>
    <row r="78" spans="1:9" x14ac:dyDescent="0.35">
      <c r="A78" t="s">
        <v>180</v>
      </c>
      <c r="B78" s="10">
        <v>45858.438465046296</v>
      </c>
      <c r="C78" s="10">
        <v>45858.591115138886</v>
      </c>
      <c r="D78" t="s">
        <v>13</v>
      </c>
      <c r="E78" t="s">
        <v>14</v>
      </c>
      <c r="F78" t="s">
        <v>181</v>
      </c>
      <c r="G78" t="s">
        <v>11</v>
      </c>
      <c r="H78" t="s">
        <v>343</v>
      </c>
      <c r="I78">
        <f>Table2_2[[#This Row],[resolution_date]]-Table2_2[[#This Row],[submission_date]]</f>
        <v>0.1526500925901928</v>
      </c>
    </row>
    <row r="79" spans="1:9" x14ac:dyDescent="0.35">
      <c r="A79" t="s">
        <v>182</v>
      </c>
      <c r="B79" s="10">
        <v>45855.654603726849</v>
      </c>
      <c r="C79" s="10">
        <v>45855.944653101855</v>
      </c>
      <c r="D79" t="s">
        <v>60</v>
      </c>
      <c r="E79" t="s">
        <v>32</v>
      </c>
      <c r="F79" t="s">
        <v>183</v>
      </c>
      <c r="G79" t="s">
        <v>11</v>
      </c>
      <c r="H79" t="s">
        <v>339</v>
      </c>
      <c r="I79">
        <f>Table2_2[[#This Row],[resolution_date]]-Table2_2[[#This Row],[submission_date]]</f>
        <v>0.29004937500576489</v>
      </c>
    </row>
    <row r="80" spans="1:9" x14ac:dyDescent="0.35">
      <c r="A80" t="s">
        <v>184</v>
      </c>
      <c r="B80" s="10">
        <v>45861.832680300926</v>
      </c>
      <c r="C80" s="10">
        <v>45864.478965694441</v>
      </c>
      <c r="D80" t="s">
        <v>13</v>
      </c>
      <c r="E80" t="s">
        <v>14</v>
      </c>
      <c r="F80" t="s">
        <v>185</v>
      </c>
      <c r="G80" t="s">
        <v>29</v>
      </c>
      <c r="H80" t="s">
        <v>340</v>
      </c>
      <c r="I80">
        <f>Table2_2[[#This Row],[resolution_date]]-Table2_2[[#This Row],[submission_date]]</f>
        <v>2.6462853935154271</v>
      </c>
    </row>
    <row r="81" spans="1:9" x14ac:dyDescent="0.35">
      <c r="A81" t="s">
        <v>186</v>
      </c>
      <c r="B81" s="10">
        <v>45835.874010046296</v>
      </c>
      <c r="C81" s="10">
        <v>45839.839174652778</v>
      </c>
      <c r="D81" t="s">
        <v>45</v>
      </c>
      <c r="E81" t="s">
        <v>14</v>
      </c>
      <c r="F81" t="s">
        <v>187</v>
      </c>
      <c r="G81" t="s">
        <v>29</v>
      </c>
      <c r="H81" t="s">
        <v>337</v>
      </c>
      <c r="I81">
        <f>Table2_2[[#This Row],[resolution_date]]-Table2_2[[#This Row],[submission_date]]</f>
        <v>3.9651646064812667</v>
      </c>
    </row>
    <row r="82" spans="1:9" x14ac:dyDescent="0.35">
      <c r="A82" t="s">
        <v>188</v>
      </c>
      <c r="B82" s="10">
        <v>45827.696929745369</v>
      </c>
      <c r="C82" s="10">
        <v>45833.939332164351</v>
      </c>
      <c r="D82" t="s">
        <v>13</v>
      </c>
      <c r="E82" t="s">
        <v>35</v>
      </c>
      <c r="F82" t="s">
        <v>189</v>
      </c>
      <c r="G82" t="s">
        <v>29</v>
      </c>
      <c r="H82" t="s">
        <v>339</v>
      </c>
      <c r="I82">
        <f>Table2_2[[#This Row],[resolution_date]]-Table2_2[[#This Row],[submission_date]]</f>
        <v>6.2424024189822376</v>
      </c>
    </row>
    <row r="83" spans="1:9" x14ac:dyDescent="0.35">
      <c r="A83" t="s">
        <v>190</v>
      </c>
      <c r="B83" s="10">
        <v>45835.035242280093</v>
      </c>
      <c r="C83" s="10">
        <v>45839.417101817133</v>
      </c>
      <c r="D83" t="s">
        <v>31</v>
      </c>
      <c r="E83" t="s">
        <v>22</v>
      </c>
      <c r="F83" t="s">
        <v>191</v>
      </c>
      <c r="G83" t="s">
        <v>29</v>
      </c>
      <c r="H83" t="s">
        <v>337</v>
      </c>
      <c r="I83">
        <f>Table2_2[[#This Row],[resolution_date]]-Table2_2[[#This Row],[submission_date]]</f>
        <v>4.3818595370394178</v>
      </c>
    </row>
    <row r="84" spans="1:9" x14ac:dyDescent="0.35">
      <c r="A84" t="s">
        <v>192</v>
      </c>
      <c r="B84" s="10">
        <v>45879.470454189817</v>
      </c>
      <c r="C84" s="10">
        <v>45881.348121898147</v>
      </c>
      <c r="D84" t="s">
        <v>13</v>
      </c>
      <c r="E84" t="s">
        <v>14</v>
      </c>
      <c r="F84" t="s">
        <v>193</v>
      </c>
      <c r="G84" t="s">
        <v>16</v>
      </c>
      <c r="H84" t="s">
        <v>343</v>
      </c>
      <c r="I84">
        <f>Table2_2[[#This Row],[resolution_date]]-Table2_2[[#This Row],[submission_date]]</f>
        <v>1.8776677083296818</v>
      </c>
    </row>
    <row r="85" spans="1:9" x14ac:dyDescent="0.35">
      <c r="A85" t="s">
        <v>194</v>
      </c>
      <c r="B85" s="10">
        <v>45867.075831828704</v>
      </c>
      <c r="C85" s="10">
        <v>45869.559900428241</v>
      </c>
      <c r="D85" t="s">
        <v>81</v>
      </c>
      <c r="E85" t="s">
        <v>25</v>
      </c>
      <c r="F85" t="s">
        <v>195</v>
      </c>
      <c r="G85" t="s">
        <v>29</v>
      </c>
      <c r="H85" t="s">
        <v>342</v>
      </c>
      <c r="I85">
        <f>Table2_2[[#This Row],[resolution_date]]-Table2_2[[#This Row],[submission_date]]</f>
        <v>2.4840685995368403</v>
      </c>
    </row>
    <row r="86" spans="1:9" x14ac:dyDescent="0.35">
      <c r="A86" t="s">
        <v>196</v>
      </c>
      <c r="B86" s="10">
        <v>45844.422962789351</v>
      </c>
      <c r="C86" s="10">
        <v>45849.014388842596</v>
      </c>
      <c r="D86" t="s">
        <v>21</v>
      </c>
      <c r="E86" t="s">
        <v>55</v>
      </c>
      <c r="F86" t="s">
        <v>197</v>
      </c>
      <c r="G86" t="s">
        <v>29</v>
      </c>
      <c r="H86" t="s">
        <v>343</v>
      </c>
      <c r="I86">
        <f>Table2_2[[#This Row],[resolution_date]]-Table2_2[[#This Row],[submission_date]]</f>
        <v>4.5914260532445041</v>
      </c>
    </row>
    <row r="87" spans="1:9" x14ac:dyDescent="0.35">
      <c r="A87" t="s">
        <v>198</v>
      </c>
      <c r="B87" s="10">
        <v>45868.183028981482</v>
      </c>
      <c r="C87" s="10">
        <v>45868.547340937497</v>
      </c>
      <c r="D87" t="s">
        <v>31</v>
      </c>
      <c r="E87" t="s">
        <v>32</v>
      </c>
      <c r="F87" t="s">
        <v>199</v>
      </c>
      <c r="G87" t="s">
        <v>11</v>
      </c>
      <c r="H87" t="s">
        <v>340</v>
      </c>
      <c r="I87">
        <f>Table2_2[[#This Row],[resolution_date]]-Table2_2[[#This Row],[submission_date]]</f>
        <v>0.364311956014717</v>
      </c>
    </row>
    <row r="88" spans="1:9" x14ac:dyDescent="0.35">
      <c r="A88" t="s">
        <v>200</v>
      </c>
      <c r="B88" s="10">
        <v>45892.221289976849</v>
      </c>
      <c r="C88" s="10">
        <v>45893.692486550928</v>
      </c>
      <c r="D88" t="s">
        <v>13</v>
      </c>
      <c r="E88" t="s">
        <v>42</v>
      </c>
      <c r="F88" t="s">
        <v>201</v>
      </c>
      <c r="G88" t="s">
        <v>16</v>
      </c>
      <c r="H88" t="s">
        <v>341</v>
      </c>
      <c r="I88">
        <f>Table2_2[[#This Row],[resolution_date]]-Table2_2[[#This Row],[submission_date]]</f>
        <v>1.471196574078931</v>
      </c>
    </row>
    <row r="89" spans="1:9" x14ac:dyDescent="0.35">
      <c r="A89" t="s">
        <v>202</v>
      </c>
      <c r="B89" s="10">
        <v>45848.132901874997</v>
      </c>
      <c r="C89" s="10">
        <v>45848.966689872686</v>
      </c>
      <c r="D89" t="s">
        <v>21</v>
      </c>
      <c r="E89" t="s">
        <v>18</v>
      </c>
      <c r="F89" t="s">
        <v>203</v>
      </c>
      <c r="G89" t="s">
        <v>16</v>
      </c>
      <c r="H89" t="s">
        <v>339</v>
      </c>
      <c r="I89">
        <f>Table2_2[[#This Row],[resolution_date]]-Table2_2[[#This Row],[submission_date]]</f>
        <v>0.83378799768979661</v>
      </c>
    </row>
    <row r="90" spans="1:9" x14ac:dyDescent="0.35">
      <c r="A90" t="s">
        <v>204</v>
      </c>
      <c r="B90" s="10">
        <v>45912.790745324077</v>
      </c>
      <c r="C90" s="10">
        <v>45914.105542256948</v>
      </c>
      <c r="D90" t="s">
        <v>13</v>
      </c>
      <c r="E90" t="s">
        <v>32</v>
      </c>
      <c r="F90" t="s">
        <v>205</v>
      </c>
      <c r="G90" t="s">
        <v>16</v>
      </c>
      <c r="H90" t="s">
        <v>337</v>
      </c>
      <c r="I90">
        <f>Table2_2[[#This Row],[resolution_date]]-Table2_2[[#This Row],[submission_date]]</f>
        <v>1.3147969328711042</v>
      </c>
    </row>
    <row r="91" spans="1:9" x14ac:dyDescent="0.35">
      <c r="A91" t="s">
        <v>206</v>
      </c>
      <c r="B91" s="10">
        <v>45902.639425532405</v>
      </c>
      <c r="C91" s="10">
        <v>45908.681624143515</v>
      </c>
      <c r="D91" t="s">
        <v>13</v>
      </c>
      <c r="E91" t="s">
        <v>32</v>
      </c>
      <c r="F91" t="s">
        <v>207</v>
      </c>
      <c r="G91" t="s">
        <v>29</v>
      </c>
      <c r="H91" t="s">
        <v>342</v>
      </c>
      <c r="I91">
        <f>Table2_2[[#This Row],[resolution_date]]-Table2_2[[#This Row],[submission_date]]</f>
        <v>6.042198611110507</v>
      </c>
    </row>
    <row r="92" spans="1:9" x14ac:dyDescent="0.35">
      <c r="A92" t="s">
        <v>208</v>
      </c>
      <c r="B92" s="10">
        <v>45850.503205740744</v>
      </c>
      <c r="C92" s="10">
        <v>45851.26551005787</v>
      </c>
      <c r="D92" t="s">
        <v>13</v>
      </c>
      <c r="E92" t="s">
        <v>9</v>
      </c>
      <c r="F92" t="s">
        <v>209</v>
      </c>
      <c r="G92" t="s">
        <v>16</v>
      </c>
      <c r="H92" t="s">
        <v>341</v>
      </c>
      <c r="I92">
        <f>Table2_2[[#This Row],[resolution_date]]-Table2_2[[#This Row],[submission_date]]</f>
        <v>0.7623043171261088</v>
      </c>
    </row>
    <row r="93" spans="1:9" x14ac:dyDescent="0.35">
      <c r="A93" t="s">
        <v>210</v>
      </c>
      <c r="B93" s="10">
        <v>45875.192167974536</v>
      </c>
      <c r="C93" s="10">
        <v>45881.464590856478</v>
      </c>
      <c r="D93" t="s">
        <v>13</v>
      </c>
      <c r="E93" t="s">
        <v>32</v>
      </c>
      <c r="F93" t="s">
        <v>211</v>
      </c>
      <c r="G93" t="s">
        <v>29</v>
      </c>
      <c r="H93" t="s">
        <v>340</v>
      </c>
      <c r="I93">
        <f>Table2_2[[#This Row],[resolution_date]]-Table2_2[[#This Row],[submission_date]]</f>
        <v>6.2724228819424752</v>
      </c>
    </row>
    <row r="94" spans="1:9" x14ac:dyDescent="0.35">
      <c r="A94" t="s">
        <v>212</v>
      </c>
      <c r="B94" s="10">
        <v>45832.518167638889</v>
      </c>
      <c r="C94" s="10">
        <v>45834.451125613428</v>
      </c>
      <c r="D94" t="s">
        <v>45</v>
      </c>
      <c r="E94" t="s">
        <v>22</v>
      </c>
      <c r="F94" t="s">
        <v>213</v>
      </c>
      <c r="G94" t="s">
        <v>16</v>
      </c>
      <c r="H94" t="s">
        <v>342</v>
      </c>
      <c r="I94">
        <f>Table2_2[[#This Row],[resolution_date]]-Table2_2[[#This Row],[submission_date]]</f>
        <v>1.932957974539022</v>
      </c>
    </row>
    <row r="95" spans="1:9" x14ac:dyDescent="0.35">
      <c r="A95" t="s">
        <v>214</v>
      </c>
      <c r="B95" s="10">
        <v>45833.894249444442</v>
      </c>
      <c r="C95" s="10">
        <v>45837.297820671294</v>
      </c>
      <c r="D95" t="s">
        <v>8</v>
      </c>
      <c r="E95" t="s">
        <v>22</v>
      </c>
      <c r="F95" t="s">
        <v>215</v>
      </c>
      <c r="G95" t="s">
        <v>29</v>
      </c>
      <c r="H95" t="s">
        <v>340</v>
      </c>
      <c r="I95">
        <f>Table2_2[[#This Row],[resolution_date]]-Table2_2[[#This Row],[submission_date]]</f>
        <v>3.4035712268523639</v>
      </c>
    </row>
    <row r="96" spans="1:9" x14ac:dyDescent="0.35">
      <c r="A96" t="s">
        <v>216</v>
      </c>
      <c r="B96" s="10">
        <v>45863.629643032407</v>
      </c>
      <c r="C96" s="10">
        <v>45868.030028715279</v>
      </c>
      <c r="D96" t="s">
        <v>31</v>
      </c>
      <c r="E96" t="s">
        <v>42</v>
      </c>
      <c r="F96" t="s">
        <v>217</v>
      </c>
      <c r="G96" t="s">
        <v>29</v>
      </c>
      <c r="H96" t="s">
        <v>337</v>
      </c>
      <c r="I96">
        <f>Table2_2[[#This Row],[resolution_date]]-Table2_2[[#This Row],[submission_date]]</f>
        <v>4.4003856828712742</v>
      </c>
    </row>
    <row r="97" spans="1:9" x14ac:dyDescent="0.35">
      <c r="A97" t="s">
        <v>218</v>
      </c>
      <c r="B97" s="10">
        <v>45863.74130209491</v>
      </c>
      <c r="C97" s="10">
        <v>45864.909261319444</v>
      </c>
      <c r="D97" t="s">
        <v>8</v>
      </c>
      <c r="E97" t="s">
        <v>9</v>
      </c>
      <c r="F97" t="s">
        <v>219</v>
      </c>
      <c r="G97" t="s">
        <v>16</v>
      </c>
      <c r="H97" t="s">
        <v>337</v>
      </c>
      <c r="I97">
        <f>Table2_2[[#This Row],[resolution_date]]-Table2_2[[#This Row],[submission_date]]</f>
        <v>1.1679592245345702</v>
      </c>
    </row>
    <row r="98" spans="1:9" x14ac:dyDescent="0.35">
      <c r="A98" t="s">
        <v>220</v>
      </c>
      <c r="B98" s="10">
        <v>45881.742879791665</v>
      </c>
      <c r="C98" s="10">
        <v>45883.565504467595</v>
      </c>
      <c r="D98" t="s">
        <v>31</v>
      </c>
      <c r="E98" t="s">
        <v>25</v>
      </c>
      <c r="F98" t="s">
        <v>221</v>
      </c>
      <c r="G98" t="s">
        <v>29</v>
      </c>
      <c r="H98" t="s">
        <v>342</v>
      </c>
      <c r="I98">
        <f>Table2_2[[#This Row],[resolution_date]]-Table2_2[[#This Row],[submission_date]]</f>
        <v>1.8226246759295464</v>
      </c>
    </row>
    <row r="99" spans="1:9" x14ac:dyDescent="0.35">
      <c r="A99" t="s">
        <v>222</v>
      </c>
      <c r="B99" s="10">
        <v>45863.88633465278</v>
      </c>
      <c r="C99" s="10">
        <v>45870.561789224535</v>
      </c>
      <c r="D99" t="s">
        <v>21</v>
      </c>
      <c r="E99" t="s">
        <v>32</v>
      </c>
      <c r="F99" t="s">
        <v>223</v>
      </c>
      <c r="G99" t="s">
        <v>29</v>
      </c>
      <c r="H99" t="s">
        <v>337</v>
      </c>
      <c r="I99">
        <f>Table2_2[[#This Row],[resolution_date]]-Table2_2[[#This Row],[submission_date]]</f>
        <v>6.6754545717558358</v>
      </c>
    </row>
    <row r="100" spans="1:9" x14ac:dyDescent="0.35">
      <c r="A100" t="s">
        <v>224</v>
      </c>
      <c r="B100" s="10">
        <v>45914.807502268515</v>
      </c>
      <c r="C100" s="10">
        <v>45914.935071701388</v>
      </c>
      <c r="D100" t="s">
        <v>13</v>
      </c>
      <c r="E100" t="s">
        <v>14</v>
      </c>
      <c r="F100" t="s">
        <v>225</v>
      </c>
      <c r="G100" t="s">
        <v>11</v>
      </c>
      <c r="H100" t="s">
        <v>343</v>
      </c>
      <c r="I100">
        <f>Table2_2[[#This Row],[resolution_date]]-Table2_2[[#This Row],[submission_date]]</f>
        <v>0.12756943287240574</v>
      </c>
    </row>
    <row r="101" spans="1:9" x14ac:dyDescent="0.35">
      <c r="A101" t="s">
        <v>226</v>
      </c>
      <c r="B101" s="10">
        <v>45869.010687291666</v>
      </c>
      <c r="C101" s="10">
        <v>45869.377826099539</v>
      </c>
      <c r="D101" t="s">
        <v>21</v>
      </c>
      <c r="E101" t="s">
        <v>25</v>
      </c>
      <c r="F101" t="s">
        <v>227</v>
      </c>
      <c r="G101" t="s">
        <v>16</v>
      </c>
      <c r="H101" t="s">
        <v>339</v>
      </c>
      <c r="I101">
        <f>Table2_2[[#This Row],[resolution_date]]-Table2_2[[#This Row],[submission_date]]</f>
        <v>0.36713880787283415</v>
      </c>
    </row>
    <row r="102" spans="1:9" x14ac:dyDescent="0.35">
      <c r="A102" t="s">
        <v>228</v>
      </c>
      <c r="B102" s="10">
        <v>45886.551199293979</v>
      </c>
      <c r="C102" s="10">
        <v>45886.637387997682</v>
      </c>
      <c r="D102" t="s">
        <v>13</v>
      </c>
      <c r="E102" t="s">
        <v>32</v>
      </c>
      <c r="F102" t="s">
        <v>229</v>
      </c>
      <c r="G102" t="s">
        <v>115</v>
      </c>
      <c r="H102" t="s">
        <v>343</v>
      </c>
      <c r="I102">
        <f>Table2_2[[#This Row],[resolution_date]]-Table2_2[[#This Row],[submission_date]]</f>
        <v>8.6188703702646308E-2</v>
      </c>
    </row>
    <row r="103" spans="1:9" x14ac:dyDescent="0.35">
      <c r="A103" t="s">
        <v>230</v>
      </c>
      <c r="B103" s="10">
        <v>45911.538317349536</v>
      </c>
      <c r="C103" s="10">
        <v>45913.271872893522</v>
      </c>
      <c r="D103" t="s">
        <v>13</v>
      </c>
      <c r="E103" t="s">
        <v>42</v>
      </c>
      <c r="F103" t="s">
        <v>231</v>
      </c>
      <c r="G103" t="s">
        <v>16</v>
      </c>
      <c r="H103" t="s">
        <v>339</v>
      </c>
      <c r="I103">
        <f>Table2_2[[#This Row],[resolution_date]]-Table2_2[[#This Row],[submission_date]]</f>
        <v>1.7335555439858581</v>
      </c>
    </row>
    <row r="104" spans="1:9" x14ac:dyDescent="0.35">
      <c r="A104" t="s">
        <v>232</v>
      </c>
      <c r="B104" s="10">
        <v>45839.36759386574</v>
      </c>
      <c r="C104" s="10">
        <v>45840.472722094906</v>
      </c>
      <c r="D104" t="s">
        <v>8</v>
      </c>
      <c r="E104" t="s">
        <v>32</v>
      </c>
      <c r="F104" t="s">
        <v>233</v>
      </c>
      <c r="G104" t="s">
        <v>29</v>
      </c>
      <c r="H104" t="s">
        <v>342</v>
      </c>
      <c r="I104">
        <f>Table2_2[[#This Row],[resolution_date]]-Table2_2[[#This Row],[submission_date]]</f>
        <v>1.1051282291664393</v>
      </c>
    </row>
    <row r="105" spans="1:9" x14ac:dyDescent="0.35">
      <c r="A105" t="s">
        <v>234</v>
      </c>
      <c r="B105" s="10">
        <v>45833.941698634262</v>
      </c>
      <c r="C105" s="10">
        <v>45834.416492488424</v>
      </c>
      <c r="D105" t="s">
        <v>13</v>
      </c>
      <c r="E105" t="s">
        <v>55</v>
      </c>
      <c r="F105" t="s">
        <v>235</v>
      </c>
      <c r="G105" t="s">
        <v>16</v>
      </c>
      <c r="H105" t="s">
        <v>340</v>
      </c>
      <c r="I105">
        <f>Table2_2[[#This Row],[resolution_date]]-Table2_2[[#This Row],[submission_date]]</f>
        <v>0.4747938541622716</v>
      </c>
    </row>
    <row r="106" spans="1:9" x14ac:dyDescent="0.35">
      <c r="A106" t="s">
        <v>236</v>
      </c>
      <c r="B106" s="10">
        <v>45906.263209618053</v>
      </c>
      <c r="C106" s="10">
        <v>45906.441982453704</v>
      </c>
      <c r="D106" t="s">
        <v>81</v>
      </c>
      <c r="E106" t="s">
        <v>55</v>
      </c>
      <c r="F106" t="s">
        <v>237</v>
      </c>
      <c r="G106" t="s">
        <v>11</v>
      </c>
      <c r="H106" t="s">
        <v>341</v>
      </c>
      <c r="I106">
        <f>Table2_2[[#This Row],[resolution_date]]-Table2_2[[#This Row],[submission_date]]</f>
        <v>0.17877283565030666</v>
      </c>
    </row>
    <row r="107" spans="1:9" x14ac:dyDescent="0.35">
      <c r="A107" t="s">
        <v>238</v>
      </c>
      <c r="B107" s="10">
        <v>45872.281321724535</v>
      </c>
      <c r="C107" s="10">
        <v>45874.695412037036</v>
      </c>
      <c r="D107" t="s">
        <v>45</v>
      </c>
      <c r="E107" t="s">
        <v>46</v>
      </c>
      <c r="F107" t="s">
        <v>239</v>
      </c>
      <c r="G107" t="s">
        <v>29</v>
      </c>
      <c r="H107" t="s">
        <v>343</v>
      </c>
      <c r="I107">
        <f>Table2_2[[#This Row],[resolution_date]]-Table2_2[[#This Row],[submission_date]]</f>
        <v>2.4140903125007753</v>
      </c>
    </row>
    <row r="108" spans="1:9" x14ac:dyDescent="0.35">
      <c r="A108" t="s">
        <v>240</v>
      </c>
      <c r="B108" s="10">
        <v>45886.512519641205</v>
      </c>
      <c r="C108" s="10">
        <v>45887.770572569447</v>
      </c>
      <c r="D108" t="s">
        <v>81</v>
      </c>
      <c r="E108" t="s">
        <v>18</v>
      </c>
      <c r="F108" t="s">
        <v>241</v>
      </c>
      <c r="G108" t="s">
        <v>16</v>
      </c>
      <c r="H108" t="s">
        <v>343</v>
      </c>
      <c r="I108">
        <f>Table2_2[[#This Row],[resolution_date]]-Table2_2[[#This Row],[submission_date]]</f>
        <v>1.2580529282422503</v>
      </c>
    </row>
    <row r="109" spans="1:9" x14ac:dyDescent="0.35">
      <c r="A109" t="s">
        <v>242</v>
      </c>
      <c r="B109" s="10">
        <v>45866.620971516204</v>
      </c>
      <c r="C109" s="10">
        <v>45869.341103599538</v>
      </c>
      <c r="D109" t="s">
        <v>21</v>
      </c>
      <c r="E109" t="s">
        <v>14</v>
      </c>
      <c r="F109" t="s">
        <v>243</v>
      </c>
      <c r="G109" t="s">
        <v>29</v>
      </c>
      <c r="H109" t="s">
        <v>338</v>
      </c>
      <c r="I109">
        <f>Table2_2[[#This Row],[resolution_date]]-Table2_2[[#This Row],[submission_date]]</f>
        <v>2.7201320833337377</v>
      </c>
    </row>
    <row r="110" spans="1:9" x14ac:dyDescent="0.35">
      <c r="A110" t="s">
        <v>244</v>
      </c>
      <c r="B110" s="10">
        <v>45850.289993865743</v>
      </c>
      <c r="C110" s="10">
        <v>45850.497444108798</v>
      </c>
      <c r="D110" t="s">
        <v>21</v>
      </c>
      <c r="E110" t="s">
        <v>18</v>
      </c>
      <c r="F110" t="s">
        <v>245</v>
      </c>
      <c r="G110" t="s">
        <v>11</v>
      </c>
      <c r="H110" t="s">
        <v>341</v>
      </c>
      <c r="I110">
        <f>Table2_2[[#This Row],[resolution_date]]-Table2_2[[#This Row],[submission_date]]</f>
        <v>0.20745024305506377</v>
      </c>
    </row>
    <row r="111" spans="1:9" x14ac:dyDescent="0.35">
      <c r="A111" t="s">
        <v>246</v>
      </c>
      <c r="B111" s="10">
        <v>45851.016814189818</v>
      </c>
      <c r="C111" s="10">
        <v>45857.933740289351</v>
      </c>
      <c r="D111" t="s">
        <v>13</v>
      </c>
      <c r="E111" t="s">
        <v>18</v>
      </c>
      <c r="F111" t="s">
        <v>247</v>
      </c>
      <c r="G111" t="s">
        <v>29</v>
      </c>
      <c r="H111" t="s">
        <v>343</v>
      </c>
      <c r="I111">
        <f>Table2_2[[#This Row],[resolution_date]]-Table2_2[[#This Row],[submission_date]]</f>
        <v>6.916926099533157</v>
      </c>
    </row>
    <row r="112" spans="1:9" x14ac:dyDescent="0.35">
      <c r="A112" t="s">
        <v>248</v>
      </c>
      <c r="B112" s="10">
        <v>45852.247494618059</v>
      </c>
      <c r="C112" s="10">
        <v>45852.52489966435</v>
      </c>
      <c r="D112" t="s">
        <v>31</v>
      </c>
      <c r="E112" t="s">
        <v>42</v>
      </c>
      <c r="F112" t="s">
        <v>249</v>
      </c>
      <c r="G112" t="s">
        <v>11</v>
      </c>
      <c r="H112" t="s">
        <v>338</v>
      </c>
      <c r="I112">
        <f>Table2_2[[#This Row],[resolution_date]]-Table2_2[[#This Row],[submission_date]]</f>
        <v>0.27740504629036877</v>
      </c>
    </row>
    <row r="113" spans="1:9" x14ac:dyDescent="0.35">
      <c r="A113" t="s">
        <v>250</v>
      </c>
      <c r="B113" s="10">
        <v>45897.479103912039</v>
      </c>
      <c r="C113" s="10">
        <v>45904.444584293982</v>
      </c>
      <c r="D113" t="s">
        <v>13</v>
      </c>
      <c r="E113" t="s">
        <v>18</v>
      </c>
      <c r="F113" t="s">
        <v>251</v>
      </c>
      <c r="G113" t="s">
        <v>29</v>
      </c>
      <c r="H113" t="s">
        <v>339</v>
      </c>
      <c r="I113">
        <f>Table2_2[[#This Row],[resolution_date]]-Table2_2[[#This Row],[submission_date]]</f>
        <v>6.9654803819430526</v>
      </c>
    </row>
    <row r="114" spans="1:9" x14ac:dyDescent="0.35">
      <c r="A114" t="s">
        <v>252</v>
      </c>
      <c r="B114" s="10">
        <v>45897.33485097222</v>
      </c>
      <c r="C114" s="10">
        <v>45902.195088425928</v>
      </c>
      <c r="D114" t="s">
        <v>60</v>
      </c>
      <c r="E114" t="s">
        <v>14</v>
      </c>
      <c r="F114" t="s">
        <v>253</v>
      </c>
      <c r="G114" t="s">
        <v>29</v>
      </c>
      <c r="H114" t="s">
        <v>339</v>
      </c>
      <c r="I114">
        <f>Table2_2[[#This Row],[resolution_date]]-Table2_2[[#This Row],[submission_date]]</f>
        <v>4.8602374537076685</v>
      </c>
    </row>
    <row r="115" spans="1:9" x14ac:dyDescent="0.35">
      <c r="A115" t="s">
        <v>254</v>
      </c>
      <c r="B115" s="10">
        <v>45889.472084976849</v>
      </c>
      <c r="C115" s="10">
        <v>45889.563600474539</v>
      </c>
      <c r="D115" t="s">
        <v>21</v>
      </c>
      <c r="E115" t="s">
        <v>22</v>
      </c>
      <c r="F115" t="s">
        <v>255</v>
      </c>
      <c r="G115" t="s">
        <v>11</v>
      </c>
      <c r="H115" t="s">
        <v>340</v>
      </c>
      <c r="I115">
        <f>Table2_2[[#This Row],[resolution_date]]-Table2_2[[#This Row],[submission_date]]</f>
        <v>9.1515497690124903E-2</v>
      </c>
    </row>
    <row r="116" spans="1:9" x14ac:dyDescent="0.35">
      <c r="A116" t="s">
        <v>256</v>
      </c>
      <c r="B116" s="10">
        <v>45834.277258101851</v>
      </c>
      <c r="C116" s="10">
        <v>45834.880186099537</v>
      </c>
      <c r="D116" t="s">
        <v>8</v>
      </c>
      <c r="E116" t="s">
        <v>25</v>
      </c>
      <c r="F116" t="s">
        <v>257</v>
      </c>
      <c r="G116" t="s">
        <v>16</v>
      </c>
      <c r="H116" t="s">
        <v>339</v>
      </c>
      <c r="I116">
        <f>Table2_2[[#This Row],[resolution_date]]-Table2_2[[#This Row],[submission_date]]</f>
        <v>0.60292799768649274</v>
      </c>
    </row>
    <row r="117" spans="1:9" x14ac:dyDescent="0.35">
      <c r="A117" t="s">
        <v>258</v>
      </c>
      <c r="B117" s="10">
        <v>45904.00158491898</v>
      </c>
      <c r="C117" s="10">
        <v>45908.743611006947</v>
      </c>
      <c r="D117" t="s">
        <v>31</v>
      </c>
      <c r="E117" t="s">
        <v>55</v>
      </c>
      <c r="F117" t="s">
        <v>259</v>
      </c>
      <c r="G117" t="s">
        <v>29</v>
      </c>
      <c r="H117" t="s">
        <v>339</v>
      </c>
      <c r="I117">
        <f>Table2_2[[#This Row],[resolution_date]]-Table2_2[[#This Row],[submission_date]]</f>
        <v>4.7420260879662237</v>
      </c>
    </row>
    <row r="118" spans="1:9" x14ac:dyDescent="0.35">
      <c r="A118" t="s">
        <v>260</v>
      </c>
      <c r="B118" s="10">
        <v>45852.145348541664</v>
      </c>
      <c r="C118" s="10">
        <v>45853.493291354163</v>
      </c>
      <c r="D118" t="s">
        <v>13</v>
      </c>
      <c r="E118" t="s">
        <v>18</v>
      </c>
      <c r="F118" t="s">
        <v>261</v>
      </c>
      <c r="G118" t="s">
        <v>16</v>
      </c>
      <c r="H118" t="s">
        <v>338</v>
      </c>
      <c r="I118">
        <f>Table2_2[[#This Row],[resolution_date]]-Table2_2[[#This Row],[submission_date]]</f>
        <v>1.347942812499241</v>
      </c>
    </row>
    <row r="119" spans="1:9" x14ac:dyDescent="0.35">
      <c r="A119" t="s">
        <v>262</v>
      </c>
      <c r="B119" s="10">
        <v>45862.277817847222</v>
      </c>
      <c r="C119" s="10">
        <v>45864.09636747685</v>
      </c>
      <c r="D119" t="s">
        <v>31</v>
      </c>
      <c r="E119" t="s">
        <v>46</v>
      </c>
      <c r="F119" t="s">
        <v>263</v>
      </c>
      <c r="G119" t="s">
        <v>16</v>
      </c>
      <c r="H119" t="s">
        <v>339</v>
      </c>
      <c r="I119">
        <f>Table2_2[[#This Row],[resolution_date]]-Table2_2[[#This Row],[submission_date]]</f>
        <v>1.8185496296282508</v>
      </c>
    </row>
    <row r="120" spans="1:9" x14ac:dyDescent="0.35">
      <c r="A120" t="s">
        <v>264</v>
      </c>
      <c r="B120" s="10">
        <v>45872.946095937499</v>
      </c>
      <c r="C120" s="10">
        <v>45879.541631354165</v>
      </c>
      <c r="D120" t="s">
        <v>81</v>
      </c>
      <c r="E120" t="s">
        <v>32</v>
      </c>
      <c r="F120" t="s">
        <v>265</v>
      </c>
      <c r="G120" t="s">
        <v>29</v>
      </c>
      <c r="H120" t="s">
        <v>343</v>
      </c>
      <c r="I120">
        <f>Table2_2[[#This Row],[resolution_date]]-Table2_2[[#This Row],[submission_date]]</f>
        <v>6.5955354166653706</v>
      </c>
    </row>
    <row r="121" spans="1:9" x14ac:dyDescent="0.35">
      <c r="A121" t="s">
        <v>266</v>
      </c>
      <c r="B121" s="10">
        <v>45850.010814976849</v>
      </c>
      <c r="C121" s="10">
        <v>45850.795333125003</v>
      </c>
      <c r="D121" t="s">
        <v>21</v>
      </c>
      <c r="E121" t="s">
        <v>14</v>
      </c>
      <c r="F121" t="s">
        <v>267</v>
      </c>
      <c r="G121" t="s">
        <v>16</v>
      </c>
      <c r="H121" t="s">
        <v>341</v>
      </c>
      <c r="I121">
        <f>Table2_2[[#This Row],[resolution_date]]-Table2_2[[#This Row],[submission_date]]</f>
        <v>0.78451814815343823</v>
      </c>
    </row>
    <row r="122" spans="1:9" x14ac:dyDescent="0.35">
      <c r="A122" t="s">
        <v>268</v>
      </c>
      <c r="B122" s="10">
        <v>45857.543304513893</v>
      </c>
      <c r="C122" s="10">
        <v>45858.309298784719</v>
      </c>
      <c r="D122" t="s">
        <v>8</v>
      </c>
      <c r="E122" t="s">
        <v>25</v>
      </c>
      <c r="F122" t="s">
        <v>269</v>
      </c>
      <c r="G122" t="s">
        <v>16</v>
      </c>
      <c r="H122" t="s">
        <v>341</v>
      </c>
      <c r="I122">
        <f>Table2_2[[#This Row],[resolution_date]]-Table2_2[[#This Row],[submission_date]]</f>
        <v>0.76599427082692273</v>
      </c>
    </row>
    <row r="123" spans="1:9" x14ac:dyDescent="0.35">
      <c r="A123" t="s">
        <v>270</v>
      </c>
      <c r="B123" s="10">
        <v>45837.839233402781</v>
      </c>
      <c r="C123" s="10">
        <v>45838.438694236109</v>
      </c>
      <c r="D123" t="s">
        <v>31</v>
      </c>
      <c r="E123" t="s">
        <v>42</v>
      </c>
      <c r="F123" t="s">
        <v>271</v>
      </c>
      <c r="G123" t="s">
        <v>16</v>
      </c>
      <c r="H123" t="s">
        <v>343</v>
      </c>
      <c r="I123">
        <f>Table2_2[[#This Row],[resolution_date]]-Table2_2[[#This Row],[submission_date]]</f>
        <v>0.59946083332761191</v>
      </c>
    </row>
    <row r="124" spans="1:9" x14ac:dyDescent="0.35">
      <c r="A124" t="s">
        <v>272</v>
      </c>
      <c r="B124" s="10">
        <v>45867.618249085652</v>
      </c>
      <c r="C124" s="10">
        <v>45868.392216446759</v>
      </c>
      <c r="D124" t="s">
        <v>13</v>
      </c>
      <c r="E124" t="s">
        <v>9</v>
      </c>
      <c r="F124" t="s">
        <v>273</v>
      </c>
      <c r="G124" t="s">
        <v>16</v>
      </c>
      <c r="H124" t="s">
        <v>342</v>
      </c>
      <c r="I124">
        <f>Table2_2[[#This Row],[resolution_date]]-Table2_2[[#This Row],[submission_date]]</f>
        <v>0.77396736110677011</v>
      </c>
    </row>
    <row r="125" spans="1:9" x14ac:dyDescent="0.35">
      <c r="A125" t="s">
        <v>274</v>
      </c>
      <c r="B125" s="10">
        <v>45888.049664409722</v>
      </c>
      <c r="C125" s="10">
        <v>45889.796211516201</v>
      </c>
      <c r="D125" t="s">
        <v>45</v>
      </c>
      <c r="E125" t="s">
        <v>14</v>
      </c>
      <c r="F125" t="s">
        <v>275</v>
      </c>
      <c r="G125" t="s">
        <v>16</v>
      </c>
      <c r="H125" t="s">
        <v>342</v>
      </c>
      <c r="I125">
        <f>Table2_2[[#This Row],[resolution_date]]-Table2_2[[#This Row],[submission_date]]</f>
        <v>1.7465471064788289</v>
      </c>
    </row>
    <row r="126" spans="1:9" x14ac:dyDescent="0.35">
      <c r="A126" t="s">
        <v>276</v>
      </c>
      <c r="B126" s="10">
        <v>45833.252764166667</v>
      </c>
      <c r="C126" s="10">
        <v>45833.782323101848</v>
      </c>
      <c r="D126" t="s">
        <v>81</v>
      </c>
      <c r="E126" t="s">
        <v>55</v>
      </c>
      <c r="F126" t="s">
        <v>277</v>
      </c>
      <c r="G126" t="s">
        <v>16</v>
      </c>
      <c r="H126" t="s">
        <v>340</v>
      </c>
      <c r="I126">
        <f>Table2_2[[#This Row],[resolution_date]]-Table2_2[[#This Row],[submission_date]]</f>
        <v>0.5295589351808303</v>
      </c>
    </row>
    <row r="127" spans="1:9" x14ac:dyDescent="0.35">
      <c r="A127" t="s">
        <v>278</v>
      </c>
      <c r="B127" s="10">
        <v>45871.769415833332</v>
      </c>
      <c r="C127" s="10">
        <v>45872.507896226853</v>
      </c>
      <c r="D127" t="s">
        <v>81</v>
      </c>
      <c r="E127" t="s">
        <v>22</v>
      </c>
      <c r="F127" t="s">
        <v>279</v>
      </c>
      <c r="G127" t="s">
        <v>16</v>
      </c>
      <c r="H127" t="s">
        <v>341</v>
      </c>
      <c r="I127">
        <f>Table2_2[[#This Row],[resolution_date]]-Table2_2[[#This Row],[submission_date]]</f>
        <v>0.73848039352014894</v>
      </c>
    </row>
    <row r="128" spans="1:9" x14ac:dyDescent="0.35">
      <c r="A128" t="s">
        <v>280</v>
      </c>
      <c r="B128" s="10">
        <v>45895.01577233796</v>
      </c>
      <c r="C128" s="10">
        <v>45898.961600011571</v>
      </c>
      <c r="D128" t="s">
        <v>21</v>
      </c>
      <c r="E128" t="s">
        <v>32</v>
      </c>
      <c r="F128" t="s">
        <v>281</v>
      </c>
      <c r="G128" t="s">
        <v>29</v>
      </c>
      <c r="H128" t="s">
        <v>342</v>
      </c>
      <c r="I128">
        <f>Table2_2[[#This Row],[resolution_date]]-Table2_2[[#This Row],[submission_date]]</f>
        <v>3.9458276736113476</v>
      </c>
    </row>
    <row r="129" spans="1:9" x14ac:dyDescent="0.35">
      <c r="A129" t="s">
        <v>282</v>
      </c>
      <c r="B129" s="10">
        <v>45855.641187476853</v>
      </c>
      <c r="C129" s="10">
        <v>45860.058005162035</v>
      </c>
      <c r="D129" t="s">
        <v>13</v>
      </c>
      <c r="E129" t="s">
        <v>55</v>
      </c>
      <c r="F129" t="s">
        <v>283</v>
      </c>
      <c r="G129" t="s">
        <v>29</v>
      </c>
      <c r="H129" t="s">
        <v>339</v>
      </c>
      <c r="I129">
        <f>Table2_2[[#This Row],[resolution_date]]-Table2_2[[#This Row],[submission_date]]</f>
        <v>4.4168176851817407</v>
      </c>
    </row>
    <row r="130" spans="1:9" x14ac:dyDescent="0.35">
      <c r="A130" t="s">
        <v>284</v>
      </c>
      <c r="B130" s="10">
        <v>45909.709815717593</v>
      </c>
      <c r="C130" s="10">
        <v>45910.054590312502</v>
      </c>
      <c r="D130" t="s">
        <v>45</v>
      </c>
      <c r="E130" t="s">
        <v>18</v>
      </c>
      <c r="F130" t="s">
        <v>285</v>
      </c>
      <c r="G130" t="s">
        <v>11</v>
      </c>
      <c r="H130" t="s">
        <v>342</v>
      </c>
      <c r="I130">
        <f>Table2_2[[#This Row],[resolution_date]]-Table2_2[[#This Row],[submission_date]]</f>
        <v>0.34477459490881301</v>
      </c>
    </row>
    <row r="131" spans="1:9" x14ac:dyDescent="0.35">
      <c r="A131" t="s">
        <v>286</v>
      </c>
      <c r="B131" s="10">
        <v>45906.729388576387</v>
      </c>
      <c r="C131" s="10">
        <v>45908.672971944441</v>
      </c>
      <c r="D131" t="s">
        <v>8</v>
      </c>
      <c r="E131" t="s">
        <v>14</v>
      </c>
      <c r="F131" t="s">
        <v>287</v>
      </c>
      <c r="G131" t="s">
        <v>16</v>
      </c>
      <c r="H131" t="s">
        <v>341</v>
      </c>
      <c r="I131">
        <f>Table2_2[[#This Row],[resolution_date]]-Table2_2[[#This Row],[submission_date]]</f>
        <v>1.9435833680545329</v>
      </c>
    </row>
    <row r="132" spans="1:9" x14ac:dyDescent="0.35">
      <c r="A132" t="s">
        <v>288</v>
      </c>
      <c r="B132" s="10">
        <v>45910.871020706021</v>
      </c>
      <c r="C132" s="10">
        <v>45912.692476354168</v>
      </c>
      <c r="D132" t="s">
        <v>81</v>
      </c>
      <c r="E132" t="s">
        <v>35</v>
      </c>
      <c r="F132" t="s">
        <v>289</v>
      </c>
      <c r="G132" t="s">
        <v>29</v>
      </c>
      <c r="H132" t="s">
        <v>340</v>
      </c>
      <c r="I132">
        <f>Table2_2[[#This Row],[resolution_date]]-Table2_2[[#This Row],[submission_date]]</f>
        <v>1.8214556481470936</v>
      </c>
    </row>
    <row r="133" spans="1:9" x14ac:dyDescent="0.35">
      <c r="A133" t="s">
        <v>290</v>
      </c>
      <c r="B133" s="10">
        <v>45879.520755300924</v>
      </c>
      <c r="C133" s="10">
        <v>45883.389230601853</v>
      </c>
      <c r="D133" t="s">
        <v>81</v>
      </c>
      <c r="E133" t="s">
        <v>18</v>
      </c>
      <c r="F133" t="s">
        <v>291</v>
      </c>
      <c r="G133" t="s">
        <v>29</v>
      </c>
      <c r="H133" t="s">
        <v>343</v>
      </c>
      <c r="I133">
        <f>Table2_2[[#This Row],[resolution_date]]-Table2_2[[#This Row],[submission_date]]</f>
        <v>3.8684753009292763</v>
      </c>
    </row>
    <row r="134" spans="1:9" x14ac:dyDescent="0.35">
      <c r="A134" t="s">
        <v>292</v>
      </c>
      <c r="B134" s="10">
        <v>45907.109921354167</v>
      </c>
      <c r="C134" s="10">
        <v>45910.587372002316</v>
      </c>
      <c r="D134" t="s">
        <v>8</v>
      </c>
      <c r="E134" t="s">
        <v>42</v>
      </c>
      <c r="F134" t="s">
        <v>293</v>
      </c>
      <c r="G134" t="s">
        <v>29</v>
      </c>
      <c r="H134" t="s">
        <v>343</v>
      </c>
      <c r="I134">
        <f>Table2_2[[#This Row],[resolution_date]]-Table2_2[[#This Row],[submission_date]]</f>
        <v>3.4774506481480785</v>
      </c>
    </row>
    <row r="135" spans="1:9" x14ac:dyDescent="0.35">
      <c r="A135" t="s">
        <v>294</v>
      </c>
      <c r="B135" s="10">
        <v>45859.296687372684</v>
      </c>
      <c r="C135" s="10">
        <v>45859.711959270833</v>
      </c>
      <c r="D135" t="s">
        <v>31</v>
      </c>
      <c r="E135" t="s">
        <v>22</v>
      </c>
      <c r="F135" t="s">
        <v>295</v>
      </c>
      <c r="G135" t="s">
        <v>11</v>
      </c>
      <c r="H135" t="s">
        <v>338</v>
      </c>
      <c r="I135">
        <f>Table2_2[[#This Row],[resolution_date]]-Table2_2[[#This Row],[submission_date]]</f>
        <v>0.41527189814951271</v>
      </c>
    </row>
    <row r="136" spans="1:9" x14ac:dyDescent="0.35">
      <c r="A136" t="s">
        <v>296</v>
      </c>
      <c r="B136" s="10">
        <v>45884.043633368055</v>
      </c>
      <c r="C136" s="10">
        <v>45891.026826423615</v>
      </c>
      <c r="D136" t="s">
        <v>8</v>
      </c>
      <c r="E136" t="s">
        <v>32</v>
      </c>
      <c r="F136" t="s">
        <v>297</v>
      </c>
      <c r="G136" t="s">
        <v>29</v>
      </c>
      <c r="H136" t="s">
        <v>337</v>
      </c>
      <c r="I136">
        <f>Table2_2[[#This Row],[resolution_date]]-Table2_2[[#This Row],[submission_date]]</f>
        <v>6.9831930555592407</v>
      </c>
    </row>
    <row r="137" spans="1:9" x14ac:dyDescent="0.35">
      <c r="A137" t="s">
        <v>298</v>
      </c>
      <c r="B137" s="10">
        <v>45832.24807454861</v>
      </c>
      <c r="C137" s="10">
        <v>45837.032086712963</v>
      </c>
      <c r="D137" t="s">
        <v>60</v>
      </c>
      <c r="E137" t="s">
        <v>35</v>
      </c>
      <c r="F137" t="s">
        <v>299</v>
      </c>
      <c r="G137" t="s">
        <v>29</v>
      </c>
      <c r="H137" t="s">
        <v>342</v>
      </c>
      <c r="I137">
        <f>Table2_2[[#This Row],[resolution_date]]-Table2_2[[#This Row],[submission_date]]</f>
        <v>4.7840121643530438</v>
      </c>
    </row>
    <row r="138" spans="1:9" x14ac:dyDescent="0.35">
      <c r="A138" t="s">
        <v>300</v>
      </c>
      <c r="B138" s="10">
        <v>45914.743208043983</v>
      </c>
      <c r="C138" s="10">
        <v>45917.991188726854</v>
      </c>
      <c r="D138" t="s">
        <v>21</v>
      </c>
      <c r="E138" t="s">
        <v>35</v>
      </c>
      <c r="F138" t="s">
        <v>301</v>
      </c>
      <c r="G138" t="s">
        <v>29</v>
      </c>
      <c r="H138" t="s">
        <v>343</v>
      </c>
      <c r="I138">
        <f>Table2_2[[#This Row],[resolution_date]]-Table2_2[[#This Row],[submission_date]]</f>
        <v>3.2479806828705478</v>
      </c>
    </row>
    <row r="139" spans="1:9" x14ac:dyDescent="0.35">
      <c r="A139" t="s">
        <v>302</v>
      </c>
      <c r="B139" s="10">
        <v>45837.385131631941</v>
      </c>
      <c r="C139" s="10">
        <v>45838.970033020836</v>
      </c>
      <c r="D139" t="s">
        <v>21</v>
      </c>
      <c r="E139" t="s">
        <v>14</v>
      </c>
      <c r="F139" t="s">
        <v>303</v>
      </c>
      <c r="G139" t="s">
        <v>29</v>
      </c>
      <c r="H139" t="s">
        <v>343</v>
      </c>
      <c r="I139">
        <f>Table2_2[[#This Row],[resolution_date]]-Table2_2[[#This Row],[submission_date]]</f>
        <v>1.5849013888946502</v>
      </c>
    </row>
    <row r="140" spans="1:9" x14ac:dyDescent="0.35">
      <c r="A140" t="s">
        <v>304</v>
      </c>
      <c r="B140" s="10">
        <v>45888.557472025466</v>
      </c>
      <c r="C140" s="10">
        <v>45889.528593067131</v>
      </c>
      <c r="D140" t="s">
        <v>13</v>
      </c>
      <c r="E140" t="s">
        <v>9</v>
      </c>
      <c r="F140" t="s">
        <v>305</v>
      </c>
      <c r="G140" t="s">
        <v>16</v>
      </c>
      <c r="H140" t="s">
        <v>342</v>
      </c>
      <c r="I140">
        <f>Table2_2[[#This Row],[resolution_date]]-Table2_2[[#This Row],[submission_date]]</f>
        <v>0.97112104166444624</v>
      </c>
    </row>
    <row r="141" spans="1:9" x14ac:dyDescent="0.35">
      <c r="A141" t="s">
        <v>306</v>
      </c>
      <c r="B141" s="10">
        <v>45890.610338888888</v>
      </c>
      <c r="C141" s="10">
        <v>45896.433827546294</v>
      </c>
      <c r="D141" t="s">
        <v>45</v>
      </c>
      <c r="E141" t="s">
        <v>35</v>
      </c>
      <c r="F141" t="s">
        <v>307</v>
      </c>
      <c r="G141" t="s">
        <v>29</v>
      </c>
      <c r="H141" t="s">
        <v>339</v>
      </c>
      <c r="I141">
        <f>Table2_2[[#This Row],[resolution_date]]-Table2_2[[#This Row],[submission_date]]</f>
        <v>5.8234886574064149</v>
      </c>
    </row>
    <row r="142" spans="1:9" x14ac:dyDescent="0.35">
      <c r="A142" t="s">
        <v>308</v>
      </c>
      <c r="B142" s="10">
        <v>45874.456965682868</v>
      </c>
      <c r="C142" s="10">
        <v>45875.076861180554</v>
      </c>
      <c r="D142" t="s">
        <v>21</v>
      </c>
      <c r="E142" t="s">
        <v>46</v>
      </c>
      <c r="F142" t="s">
        <v>309</v>
      </c>
      <c r="G142" t="s">
        <v>16</v>
      </c>
      <c r="H142" t="s">
        <v>342</v>
      </c>
      <c r="I142">
        <f>Table2_2[[#This Row],[resolution_date]]-Table2_2[[#This Row],[submission_date]]</f>
        <v>0.61989549768622965</v>
      </c>
    </row>
    <row r="143" spans="1:9" x14ac:dyDescent="0.35">
      <c r="A143" t="s">
        <v>310</v>
      </c>
      <c r="B143" s="10">
        <v>45887.431979837966</v>
      </c>
      <c r="C143" s="10">
        <v>45887.968167638886</v>
      </c>
      <c r="D143" t="s">
        <v>21</v>
      </c>
      <c r="E143" t="s">
        <v>9</v>
      </c>
      <c r="F143" t="s">
        <v>311</v>
      </c>
      <c r="G143" t="s">
        <v>16</v>
      </c>
      <c r="H143" t="s">
        <v>338</v>
      </c>
      <c r="I143">
        <f>Table2_2[[#This Row],[resolution_date]]-Table2_2[[#This Row],[submission_date]]</f>
        <v>0.53618780092074303</v>
      </c>
    </row>
    <row r="144" spans="1:9" x14ac:dyDescent="0.35">
      <c r="A144" t="s">
        <v>312</v>
      </c>
      <c r="B144" s="10">
        <v>45913.681012118053</v>
      </c>
      <c r="C144" s="10">
        <v>45914.899067337959</v>
      </c>
      <c r="D144" t="s">
        <v>45</v>
      </c>
      <c r="E144" t="s">
        <v>25</v>
      </c>
      <c r="F144" t="s">
        <v>313</v>
      </c>
      <c r="G144" t="s">
        <v>16</v>
      </c>
      <c r="H144" t="s">
        <v>341</v>
      </c>
      <c r="I144">
        <f>Table2_2[[#This Row],[resolution_date]]-Table2_2[[#This Row],[submission_date]]</f>
        <v>1.2180552199060912</v>
      </c>
    </row>
    <row r="145" spans="1:9" x14ac:dyDescent="0.35">
      <c r="A145" t="s">
        <v>314</v>
      </c>
      <c r="B145" s="10">
        <v>45872.284382627317</v>
      </c>
      <c r="C145" s="10">
        <v>45875.951124525462</v>
      </c>
      <c r="D145" t="s">
        <v>21</v>
      </c>
      <c r="E145" t="s">
        <v>22</v>
      </c>
      <c r="F145" t="s">
        <v>315</v>
      </c>
      <c r="G145" t="s">
        <v>29</v>
      </c>
      <c r="H145" t="s">
        <v>343</v>
      </c>
      <c r="I145">
        <f>Table2_2[[#This Row],[resolution_date]]-Table2_2[[#This Row],[submission_date]]</f>
        <v>3.6667418981451192</v>
      </c>
    </row>
    <row r="146" spans="1:9" x14ac:dyDescent="0.35">
      <c r="A146" t="s">
        <v>316</v>
      </c>
      <c r="B146" s="10">
        <v>45835.128006678242</v>
      </c>
      <c r="C146" s="10">
        <v>45835.63756747685</v>
      </c>
      <c r="D146" t="s">
        <v>13</v>
      </c>
      <c r="E146" t="s">
        <v>46</v>
      </c>
      <c r="F146" t="s">
        <v>317</v>
      </c>
      <c r="G146" t="s">
        <v>16</v>
      </c>
      <c r="H146" t="s">
        <v>337</v>
      </c>
      <c r="I146">
        <f>Table2_2[[#This Row],[resolution_date]]-Table2_2[[#This Row],[submission_date]]</f>
        <v>0.50956079860770842</v>
      </c>
    </row>
    <row r="147" spans="1:9" x14ac:dyDescent="0.35">
      <c r="A147" t="s">
        <v>318</v>
      </c>
      <c r="B147" s="10">
        <v>45900.65947421296</v>
      </c>
      <c r="C147" s="10">
        <v>45900.743211898145</v>
      </c>
      <c r="D147" t="s">
        <v>81</v>
      </c>
      <c r="E147" t="s">
        <v>22</v>
      </c>
      <c r="F147" t="s">
        <v>319</v>
      </c>
      <c r="G147" t="s">
        <v>115</v>
      </c>
      <c r="H147" t="s">
        <v>343</v>
      </c>
      <c r="I147">
        <f>Table2_2[[#This Row],[resolution_date]]-Table2_2[[#This Row],[submission_date]]</f>
        <v>8.373768518504221E-2</v>
      </c>
    </row>
    <row r="148" spans="1:9" x14ac:dyDescent="0.35">
      <c r="A148" t="s">
        <v>320</v>
      </c>
      <c r="B148" s="10">
        <v>45832.460665983795</v>
      </c>
      <c r="C148" s="10">
        <v>45832.787722476853</v>
      </c>
      <c r="D148" t="s">
        <v>45</v>
      </c>
      <c r="E148" t="s">
        <v>35</v>
      </c>
      <c r="F148" t="s">
        <v>321</v>
      </c>
      <c r="G148" t="s">
        <v>11</v>
      </c>
      <c r="H148" t="s">
        <v>342</v>
      </c>
      <c r="I148">
        <f>Table2_2[[#This Row],[resolution_date]]-Table2_2[[#This Row],[submission_date]]</f>
        <v>0.32705649305717088</v>
      </c>
    </row>
    <row r="149" spans="1:9" x14ac:dyDescent="0.35">
      <c r="A149" t="s">
        <v>322</v>
      </c>
      <c r="B149" s="10">
        <v>45902.70604621528</v>
      </c>
      <c r="C149" s="10">
        <v>45906.209134826386</v>
      </c>
      <c r="D149" t="s">
        <v>60</v>
      </c>
      <c r="E149" t="s">
        <v>22</v>
      </c>
      <c r="F149" t="s">
        <v>323</v>
      </c>
      <c r="G149" t="s">
        <v>29</v>
      </c>
      <c r="H149" t="s">
        <v>342</v>
      </c>
      <c r="I149">
        <f>Table2_2[[#This Row],[resolution_date]]-Table2_2[[#This Row],[submission_date]]</f>
        <v>3.5030886111053405</v>
      </c>
    </row>
    <row r="150" spans="1:9" x14ac:dyDescent="0.35">
      <c r="A150" t="s">
        <v>324</v>
      </c>
      <c r="B150" s="10">
        <v>45854.598774027778</v>
      </c>
      <c r="C150" s="10">
        <v>45855.701526377314</v>
      </c>
      <c r="D150" t="s">
        <v>8</v>
      </c>
      <c r="E150" t="s">
        <v>42</v>
      </c>
      <c r="F150" t="s">
        <v>325</v>
      </c>
      <c r="G150" t="s">
        <v>16</v>
      </c>
      <c r="H150" t="s">
        <v>340</v>
      </c>
      <c r="I150">
        <f>Table2_2[[#This Row],[resolution_date]]-Table2_2[[#This Row],[submission_date]]</f>
        <v>1.1027523495358764</v>
      </c>
    </row>
    <row r="151" spans="1:9" x14ac:dyDescent="0.35">
      <c r="A151" t="s">
        <v>326</v>
      </c>
      <c r="B151" s="10">
        <v>45869.175449467592</v>
      </c>
      <c r="C151" s="10">
        <v>45870.175988194445</v>
      </c>
      <c r="D151" t="s">
        <v>21</v>
      </c>
      <c r="E151" t="s">
        <v>9</v>
      </c>
      <c r="F151" t="s">
        <v>327</v>
      </c>
      <c r="G151" t="s">
        <v>16</v>
      </c>
      <c r="H151" t="s">
        <v>339</v>
      </c>
      <c r="I151">
        <f>Table2_2[[#This Row],[resolution_date]]-Table2_2[[#This Row],[submission_date]]</f>
        <v>1.000538726853847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6E6F-0509-430E-8E49-CB4115AC5F7F}">
  <dimension ref="A3:I9"/>
  <sheetViews>
    <sheetView workbookViewId="0">
      <selection activeCell="A3" sqref="A3"/>
    </sheetView>
  </sheetViews>
  <sheetFormatPr defaultRowHeight="14.5" x14ac:dyDescent="0.35"/>
  <cols>
    <col min="1" max="1" width="15.90625" bestFit="1" customWidth="1"/>
    <col min="2" max="2" width="15.26953125" bestFit="1" customWidth="1"/>
    <col min="3" max="3" width="7.7265625" bestFit="1" customWidth="1"/>
    <col min="4" max="4" width="10.6328125" bestFit="1" customWidth="1"/>
    <col min="5" max="5" width="8.54296875" bestFit="1" customWidth="1"/>
    <col min="6" max="6" width="5.90625" bestFit="1" customWidth="1"/>
    <col min="7" max="7" width="8.26953125" bestFit="1" customWidth="1"/>
    <col min="8" max="8" width="6.90625" bestFit="1" customWidth="1"/>
    <col min="9" max="9" width="10.7265625" bestFit="1" customWidth="1"/>
  </cols>
  <sheetData>
    <row r="3" spans="1:9" x14ac:dyDescent="0.35">
      <c r="A3" s="1" t="s">
        <v>334</v>
      </c>
      <c r="B3" s="1" t="s">
        <v>345</v>
      </c>
    </row>
    <row r="4" spans="1:9" x14ac:dyDescent="0.35">
      <c r="A4" s="1" t="s">
        <v>328</v>
      </c>
      <c r="B4" t="s">
        <v>338</v>
      </c>
      <c r="C4" t="s">
        <v>342</v>
      </c>
      <c r="D4" t="s">
        <v>340</v>
      </c>
      <c r="E4" t="s">
        <v>339</v>
      </c>
      <c r="F4" t="s">
        <v>337</v>
      </c>
      <c r="G4" t="s">
        <v>341</v>
      </c>
      <c r="H4" t="s">
        <v>343</v>
      </c>
      <c r="I4" t="s">
        <v>329</v>
      </c>
    </row>
    <row r="5" spans="1:9" x14ac:dyDescent="0.35">
      <c r="A5" s="2" t="s">
        <v>330</v>
      </c>
      <c r="B5" s="3">
        <v>4</v>
      </c>
      <c r="C5" s="3">
        <v>5</v>
      </c>
      <c r="D5" s="3">
        <v>4</v>
      </c>
      <c r="E5" s="3">
        <v>3</v>
      </c>
      <c r="F5" s="3">
        <v>4</v>
      </c>
      <c r="G5" s="3">
        <v>2</v>
      </c>
      <c r="H5" s="3">
        <v>5</v>
      </c>
      <c r="I5" s="3">
        <v>27</v>
      </c>
    </row>
    <row r="6" spans="1:9" x14ac:dyDescent="0.35">
      <c r="A6" s="2" t="s">
        <v>331</v>
      </c>
      <c r="B6" s="3">
        <v>8</v>
      </c>
      <c r="C6" s="3">
        <v>8</v>
      </c>
      <c r="D6" s="3">
        <v>7</v>
      </c>
      <c r="E6" s="3">
        <v>11</v>
      </c>
      <c r="F6" s="3">
        <v>5</v>
      </c>
      <c r="G6" s="3">
        <v>7</v>
      </c>
      <c r="H6" s="3">
        <v>5</v>
      </c>
      <c r="I6" s="3">
        <v>51</v>
      </c>
    </row>
    <row r="7" spans="1:9" x14ac:dyDescent="0.35">
      <c r="A7" s="2" t="s">
        <v>332</v>
      </c>
      <c r="B7" s="3">
        <v>4</v>
      </c>
      <c r="C7" s="3">
        <v>5</v>
      </c>
      <c r="D7" s="3">
        <v>7</v>
      </c>
      <c r="E7" s="3">
        <v>5</v>
      </c>
      <c r="F7" s="3">
        <v>5</v>
      </c>
      <c r="G7" s="3">
        <v>7</v>
      </c>
      <c r="H7" s="3">
        <v>12</v>
      </c>
      <c r="I7" s="3">
        <v>45</v>
      </c>
    </row>
    <row r="8" spans="1:9" x14ac:dyDescent="0.35">
      <c r="A8" s="2" t="s">
        <v>333</v>
      </c>
      <c r="B8" s="3">
        <v>3</v>
      </c>
      <c r="C8" s="3">
        <v>4</v>
      </c>
      <c r="D8" s="3">
        <v>6</v>
      </c>
      <c r="E8" s="3">
        <v>4</v>
      </c>
      <c r="F8" s="3">
        <v>2</v>
      </c>
      <c r="G8" s="3">
        <v>4</v>
      </c>
      <c r="H8" s="3">
        <v>4</v>
      </c>
      <c r="I8" s="3">
        <v>27</v>
      </c>
    </row>
    <row r="9" spans="1:9" x14ac:dyDescent="0.35">
      <c r="A9" s="2" t="s">
        <v>329</v>
      </c>
      <c r="B9" s="3">
        <v>19</v>
      </c>
      <c r="C9" s="3">
        <v>22</v>
      </c>
      <c r="D9" s="3">
        <v>24</v>
      </c>
      <c r="E9" s="3">
        <v>23</v>
      </c>
      <c r="F9" s="3">
        <v>16</v>
      </c>
      <c r="G9" s="3">
        <v>20</v>
      </c>
      <c r="H9" s="3">
        <v>26</v>
      </c>
      <c r="I9" s="3">
        <v>150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AF26F-CDCF-4F3A-AA3F-36A6EDFFFEDF}">
  <dimension ref="A3:B11"/>
  <sheetViews>
    <sheetView workbookViewId="0">
      <selection activeCell="A3" sqref="A3"/>
    </sheetView>
  </sheetViews>
  <sheetFormatPr defaultRowHeight="14.5" x14ac:dyDescent="0.35"/>
  <cols>
    <col min="1" max="1" width="12.36328125" bestFit="1" customWidth="1"/>
    <col min="2" max="2" width="24.1796875" bestFit="1" customWidth="1"/>
  </cols>
  <sheetData>
    <row r="3" spans="1:2" x14ac:dyDescent="0.35">
      <c r="A3" s="1" t="s">
        <v>328</v>
      </c>
      <c r="B3" t="s">
        <v>346</v>
      </c>
    </row>
    <row r="4" spans="1:2" x14ac:dyDescent="0.35">
      <c r="A4" s="2" t="s">
        <v>31</v>
      </c>
      <c r="B4" s="3">
        <v>1.8494494513889852</v>
      </c>
    </row>
    <row r="5" spans="1:2" x14ac:dyDescent="0.35">
      <c r="A5" s="2" t="s">
        <v>81</v>
      </c>
      <c r="B5" s="3">
        <v>2.6090075761961393</v>
      </c>
    </row>
    <row r="6" spans="1:2" x14ac:dyDescent="0.35">
      <c r="A6" s="2" t="s">
        <v>21</v>
      </c>
      <c r="B6" s="3">
        <v>1.7765258376736408</v>
      </c>
    </row>
    <row r="7" spans="1:2" x14ac:dyDescent="0.35">
      <c r="A7" s="2" t="s">
        <v>45</v>
      </c>
      <c r="B7" s="3">
        <v>2.0881026766301543</v>
      </c>
    </row>
    <row r="8" spans="1:2" x14ac:dyDescent="0.35">
      <c r="A8" s="2" t="s">
        <v>8</v>
      </c>
      <c r="B8" s="3">
        <v>2.1476218975048038</v>
      </c>
    </row>
    <row r="9" spans="1:2" x14ac:dyDescent="0.35">
      <c r="A9" s="2" t="s">
        <v>60</v>
      </c>
      <c r="B9" s="3">
        <v>4.0760051223561664</v>
      </c>
    </row>
    <row r="10" spans="1:2" x14ac:dyDescent="0.35">
      <c r="A10" s="2" t="s">
        <v>13</v>
      </c>
      <c r="B10" s="3">
        <v>2.2784664170290387</v>
      </c>
    </row>
    <row r="11" spans="1:2" x14ac:dyDescent="0.35">
      <c r="A11" s="2" t="s">
        <v>329</v>
      </c>
      <c r="B11" s="3">
        <v>2.2206922108793998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F3246-AE5D-4C70-A93E-1322DE250154}">
  <dimension ref="A3:B8"/>
  <sheetViews>
    <sheetView workbookViewId="0">
      <selection activeCell="B1" sqref="B1:B1048576"/>
    </sheetView>
  </sheetViews>
  <sheetFormatPr defaultRowHeight="14.5" x14ac:dyDescent="0.35"/>
  <cols>
    <col min="1" max="1" width="12.36328125" bestFit="1" customWidth="1"/>
    <col min="2" max="2" width="15.90625" bestFit="1" customWidth="1"/>
  </cols>
  <sheetData>
    <row r="3" spans="1:2" x14ac:dyDescent="0.35">
      <c r="A3" s="1" t="s">
        <v>328</v>
      </c>
      <c r="B3" t="s">
        <v>334</v>
      </c>
    </row>
    <row r="4" spans="1:2" x14ac:dyDescent="0.35">
      <c r="A4" s="2" t="s">
        <v>330</v>
      </c>
      <c r="B4" s="3">
        <v>22</v>
      </c>
    </row>
    <row r="5" spans="1:2" x14ac:dyDescent="0.35">
      <c r="A5" s="2" t="s">
        <v>331</v>
      </c>
      <c r="B5" s="3">
        <v>52</v>
      </c>
    </row>
    <row r="6" spans="1:2" x14ac:dyDescent="0.35">
      <c r="A6" s="2" t="s">
        <v>332</v>
      </c>
      <c r="B6" s="3">
        <v>44</v>
      </c>
    </row>
    <row r="7" spans="1:2" x14ac:dyDescent="0.35">
      <c r="A7" s="2" t="s">
        <v>333</v>
      </c>
      <c r="B7" s="3">
        <v>32</v>
      </c>
    </row>
    <row r="8" spans="1:2" x14ac:dyDescent="0.35">
      <c r="A8" s="2" t="s">
        <v>329</v>
      </c>
      <c r="B8" s="3">
        <v>150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54533-24F8-4CDF-B092-F9029A1CD094}">
  <dimension ref="A3:C14"/>
  <sheetViews>
    <sheetView workbookViewId="0">
      <selection activeCell="A3" sqref="A3"/>
    </sheetView>
  </sheetViews>
  <sheetFormatPr defaultRowHeight="14.5" x14ac:dyDescent="0.35"/>
  <cols>
    <col min="1" max="1" width="13.36328125" bestFit="1" customWidth="1"/>
    <col min="2" max="2" width="24.1796875" bestFit="1" customWidth="1"/>
    <col min="3" max="3" width="15.90625" bestFit="1" customWidth="1"/>
  </cols>
  <sheetData>
    <row r="3" spans="1:3" x14ac:dyDescent="0.35">
      <c r="A3" s="1" t="s">
        <v>328</v>
      </c>
      <c r="B3" t="s">
        <v>346</v>
      </c>
      <c r="C3" t="s">
        <v>334</v>
      </c>
    </row>
    <row r="4" spans="1:3" x14ac:dyDescent="0.35">
      <c r="A4" s="2" t="s">
        <v>42</v>
      </c>
      <c r="B4" s="3">
        <v>1.9329147460935019</v>
      </c>
      <c r="C4" s="3">
        <v>16</v>
      </c>
    </row>
    <row r="5" spans="1:3" x14ac:dyDescent="0.35">
      <c r="A5" s="2" t="s">
        <v>35</v>
      </c>
      <c r="B5" s="3">
        <v>3.426067872684992</v>
      </c>
      <c r="C5" s="3">
        <v>15</v>
      </c>
    </row>
    <row r="6" spans="1:3" x14ac:dyDescent="0.35">
      <c r="A6" s="2" t="s">
        <v>32</v>
      </c>
      <c r="B6" s="3">
        <v>3.0254332591229125</v>
      </c>
      <c r="C6" s="3">
        <v>17</v>
      </c>
    </row>
    <row r="7" spans="1:3" x14ac:dyDescent="0.35">
      <c r="A7" s="2" t="s">
        <v>22</v>
      </c>
      <c r="B7" s="3">
        <v>2.0922771881806135</v>
      </c>
      <c r="C7" s="3">
        <v>17</v>
      </c>
    </row>
    <row r="8" spans="1:3" x14ac:dyDescent="0.35">
      <c r="A8" s="2" t="s">
        <v>25</v>
      </c>
      <c r="B8" s="3">
        <v>1.4739726513524567</v>
      </c>
      <c r="C8" s="3">
        <v>13</v>
      </c>
    </row>
    <row r="9" spans="1:3" x14ac:dyDescent="0.35">
      <c r="A9" s="2" t="s">
        <v>55</v>
      </c>
      <c r="B9" s="3">
        <v>2.6847206524880676</v>
      </c>
      <c r="C9" s="3">
        <v>8</v>
      </c>
    </row>
    <row r="10" spans="1:3" x14ac:dyDescent="0.35">
      <c r="A10" s="2" t="s">
        <v>46</v>
      </c>
      <c r="B10" s="3">
        <v>1.3939112979496713</v>
      </c>
      <c r="C10" s="3">
        <v>7</v>
      </c>
    </row>
    <row r="11" spans="1:3" x14ac:dyDescent="0.35">
      <c r="A11" s="2" t="s">
        <v>18</v>
      </c>
      <c r="B11" s="3">
        <v>2.7851482486976238</v>
      </c>
      <c r="C11" s="3">
        <v>16</v>
      </c>
    </row>
    <row r="12" spans="1:3" x14ac:dyDescent="0.35">
      <c r="A12" s="2" t="s">
        <v>14</v>
      </c>
      <c r="B12" s="3">
        <v>1.9601070421814695</v>
      </c>
      <c r="C12" s="3">
        <v>27</v>
      </c>
    </row>
    <row r="13" spans="1:3" x14ac:dyDescent="0.35">
      <c r="A13" s="2" t="s">
        <v>9</v>
      </c>
      <c r="B13" s="3">
        <v>1.1359320791988077</v>
      </c>
      <c r="C13" s="3">
        <v>14</v>
      </c>
    </row>
    <row r="14" spans="1:3" x14ac:dyDescent="0.35">
      <c r="A14" s="2" t="s">
        <v>329</v>
      </c>
      <c r="B14" s="3">
        <v>2.2206922108793998</v>
      </c>
      <c r="C14" s="3">
        <v>150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0D4F1-FC18-4D4B-A1B4-A37E4E3E6C8E}">
  <dimension ref="A1"/>
  <sheetViews>
    <sheetView workbookViewId="0">
      <selection activeCell="S37" sqref="S37"/>
    </sheetView>
  </sheetViews>
  <sheetFormatPr defaultRowHeight="14.5" x14ac:dyDescent="0.3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3759-DCFB-441E-99B6-1B7FC8D9098D}">
  <dimension ref="A1"/>
  <sheetViews>
    <sheetView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C6816D-9D5A-40FD-A6E2-652FBB8961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 data</vt:lpstr>
      <vt:lpstr>pivot table</vt:lpstr>
      <vt:lpstr>pie chart</vt:lpstr>
      <vt:lpstr>bar chart</vt:lpstr>
      <vt:lpstr>Line_chart</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2026-03-20T11:02:11Z</dcterms:created>
  <dcterms:modified xsi:type="dcterms:W3CDTF">2026-03-20T14:59:56Z</dcterms:modified>
</cp:coreProperties>
</file>